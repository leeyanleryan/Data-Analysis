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52886fdf619e986/Projects/Cancer Analysis/"/>
    </mc:Choice>
  </mc:AlternateContent>
  <xr:revisionPtr revIDLastSave="457" documentId="13_ncr:1_{2DC91321-9164-437A-868C-6A7E7436BF35}" xr6:coauthVersionLast="47" xr6:coauthVersionMax="47" xr10:uidLastSave="{62EC91E9-14F3-49B7-B76A-C904523C2600}"/>
  <bookViews>
    <workbookView xWindow="-120" yWindow="-120" windowWidth="29040" windowHeight="15990" activeTab="2" xr2:uid="{00000000-000D-0000-FFFF-FFFF00000000}"/>
  </bookViews>
  <sheets>
    <sheet name="Main" sheetId="25" r:id="rId1"/>
    <sheet name="Best Result" sheetId="28" r:id="rId2"/>
    <sheet name="All Results" sheetId="27" r:id="rId3"/>
    <sheet name="Calculation" sheetId="26" state="hidden" r:id="rId4"/>
    <sheet name="Data" sheetId="24" state="hidden" r:id="rId5"/>
  </sheets>
  <functionGroups builtInGroupCount="19"/>
  <definedNames>
    <definedName name="_xlnm._FilterDatabase" localSheetId="4" hidden="1">Data!$A$1:$Q$1035</definedName>
    <definedName name="solver_adj" localSheetId="3" hidden="1">Calculation!$M$38:$P$38</definedName>
    <definedName name="solver_cvg" localSheetId="3" hidden="1">0.0001</definedName>
    <definedName name="solver_drv" localSheetId="3" hidden="1">1</definedName>
    <definedName name="solver_eng" localSheetId="3" hidden="1">2</definedName>
    <definedName name="solver_est" localSheetId="3" hidden="1">1</definedName>
    <definedName name="solver_itr" localSheetId="3" hidden="1">2147483647</definedName>
    <definedName name="solver_lhs1" localSheetId="3" hidden="1">Calculation!$M$38</definedName>
    <definedName name="solver_lhs2" localSheetId="3" hidden="1">Calculation!$N$38</definedName>
    <definedName name="solver_lhs3" localSheetId="3" hidden="1">Calculation!$O$38</definedName>
    <definedName name="solver_lhs4" localSheetId="3" hidden="1">Calculation!$P$38</definedName>
    <definedName name="solver_lhs5" localSheetId="3" hidden="1">Calculation!$R$38</definedName>
    <definedName name="solver_lhs6" localSheetId="3" hidden="1">Calculation!$R$38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5</definedName>
    <definedName name="solver_nwt" localSheetId="3" hidden="1">1</definedName>
    <definedName name="solver_opt" localSheetId="3" hidden="1">Calculation!$Q$38</definedName>
    <definedName name="solver_pre" localSheetId="3" hidden="1">0.000001</definedName>
    <definedName name="solver_rbv" localSheetId="3" hidden="1">1</definedName>
    <definedName name="solver_rel1" localSheetId="3" hidden="1">5</definedName>
    <definedName name="solver_rel2" localSheetId="3" hidden="1">5</definedName>
    <definedName name="solver_rel3" localSheetId="3" hidden="1">5</definedName>
    <definedName name="solver_rel4" localSheetId="3" hidden="1">5</definedName>
    <definedName name="solver_rel5" localSheetId="3" hidden="1">1</definedName>
    <definedName name="solver_rel6" localSheetId="3" hidden="1">1</definedName>
    <definedName name="solver_rhs1" localSheetId="3" hidden="1">"binary"</definedName>
    <definedName name="solver_rhs2" localSheetId="3" hidden="1">"binary"</definedName>
    <definedName name="solver_rhs3" localSheetId="3" hidden="1">"binary"</definedName>
    <definedName name="solver_rhs4" localSheetId="3" hidden="1">"binary"</definedName>
    <definedName name="solver_rhs5" localSheetId="3" hidden="1">Calculation!$S$7</definedName>
    <definedName name="solver_rhs6" localSheetId="3" hidden="1">Calculation!$S$7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8" l="1"/>
  <c r="G17" i="28" a="1"/>
  <c r="G17" i="28" s="1"/>
  <c r="P42" i="26"/>
  <c r="O42" i="26"/>
  <c r="N42" i="26"/>
  <c r="M42" i="26"/>
  <c r="R38" i="26" l="1"/>
  <c r="R28" i="26" l="1"/>
  <c r="R31" i="26"/>
  <c r="R30" i="26"/>
  <c r="R29" i="26"/>
  <c r="R27" i="26"/>
  <c r="R26" i="26"/>
  <c r="R25" i="26"/>
  <c r="R24" i="26"/>
  <c r="R23" i="26"/>
  <c r="R22" i="26"/>
  <c r="R21" i="26"/>
  <c r="R20" i="26"/>
  <c r="R19" i="26"/>
  <c r="R18" i="26"/>
  <c r="R17" i="26"/>
  <c r="P34" i="26"/>
  <c r="O34" i="26"/>
  <c r="N34" i="26"/>
  <c r="M34" i="26"/>
  <c r="P12" i="26"/>
  <c r="P11" i="26"/>
  <c r="P10" i="26"/>
  <c r="P9" i="26"/>
  <c r="P8" i="26"/>
  <c r="M2" i="26" l="1"/>
  <c r="Q38" i="26"/>
  <c r="Q18" i="26"/>
  <c r="Q23" i="26"/>
  <c r="Q24" i="26"/>
  <c r="Q22" i="26"/>
  <c r="Q21" i="26"/>
  <c r="Q20" i="26"/>
  <c r="Q19" i="26"/>
  <c r="Q27" i="26"/>
  <c r="Q17" i="26"/>
  <c r="Q32" i="26"/>
  <c r="Q31" i="26"/>
  <c r="Q30" i="26"/>
  <c r="Q29" i="26"/>
  <c r="Q28" i="26"/>
  <c r="Q26" i="26"/>
  <c r="Q25" i="26"/>
  <c r="L38" i="26" l="1"/>
  <c r="T17" i="26"/>
  <c r="T20" i="26" s="1"/>
  <c r="T23" i="2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<sst xmlns="http://schemas.openxmlformats.org/spreadsheetml/2006/main" count="174" uniqueCount="106">
  <si>
    <t>age_at_diagnosis</t>
  </si>
  <si>
    <t>chemotherapy</t>
  </si>
  <si>
    <t>hormone_therapy</t>
  </si>
  <si>
    <t>lymph_nodes_examined_positive</t>
  </si>
  <si>
    <t>mutation_count</t>
  </si>
  <si>
    <t>nottingham_prognostic_index</t>
  </si>
  <si>
    <t>overall_survival_months</t>
  </si>
  <si>
    <t>radio_therapy</t>
  </si>
  <si>
    <t>tumor_size</t>
  </si>
  <si>
    <t>tumor_stage</t>
  </si>
  <si>
    <t>Breast Invasive Ductal Carcinoma</t>
  </si>
  <si>
    <t>Breast Mixed Ductal and Lobular Carcinoma</t>
  </si>
  <si>
    <t>Breast Invasive Lobular Carcinoma</t>
  </si>
  <si>
    <t>Breast Invasive Mixed Mucinous Carcinoma</t>
  </si>
  <si>
    <t>Age</t>
  </si>
  <si>
    <t>Cancer Type Detailed</t>
  </si>
  <si>
    <t>Lymph Nodes examined Positive</t>
  </si>
  <si>
    <t>Mutation Count</t>
  </si>
  <si>
    <t>Nottingham Prognostic Index</t>
  </si>
  <si>
    <t>Tumor Size</t>
  </si>
  <si>
    <t>Tumor Stage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</si>
  <si>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</si>
  <si>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</si>
  <si>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</si>
  <si>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</si>
  <si>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</si>
  <si>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</si>
  <si>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</si>
  <si>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</si>
  <si>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</si>
  <si>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</si>
  <si>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</si>
  <si>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</si>
  <si>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</si>
  <si>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</si>
  <si>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</si>
  <si>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</si>
  <si>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</si>
  <si>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</si>
  <si>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</si>
  <si>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</si>
  <si>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</si>
  <si>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</si>
  <si>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X Variable 1</t>
  </si>
  <si>
    <t>X Variable 2</t>
  </si>
  <si>
    <t>X Variable 3</t>
  </si>
  <si>
    <t>X Variable 4</t>
  </si>
  <si>
    <t>X Variable 5</t>
  </si>
  <si>
    <t>X Variable 6</t>
  </si>
  <si>
    <t>X Variable 7</t>
  </si>
  <si>
    <t>X Variable 8</t>
  </si>
  <si>
    <t>X Variable 9</t>
  </si>
  <si>
    <t>X Variable 10</t>
  </si>
  <si>
    <t>X Variable 11</t>
  </si>
  <si>
    <t>X Variable 12</t>
  </si>
  <si>
    <t>X Variable 13</t>
  </si>
  <si>
    <t>X Variable 14</t>
  </si>
  <si>
    <t>X Variable 15</t>
  </si>
  <si>
    <t>breast surgery</t>
  </si>
  <si>
    <t>Input</t>
  </si>
  <si>
    <t>Variables</t>
  </si>
  <si>
    <t>General</t>
  </si>
  <si>
    <t>Breast Surgery</t>
  </si>
  <si>
    <t>Chemotherapy</t>
  </si>
  <si>
    <t>Hormone Therapy</t>
  </si>
  <si>
    <t>Radiotherapy</t>
  </si>
  <si>
    <t>Overall Survival Months</t>
  </si>
  <si>
    <t>Combination</t>
  </si>
  <si>
    <t>B</t>
  </si>
  <si>
    <t>BC</t>
  </si>
  <si>
    <t>BH</t>
  </si>
  <si>
    <t>BR</t>
  </si>
  <si>
    <t>BCH</t>
  </si>
  <si>
    <t>BCR</t>
  </si>
  <si>
    <t>BHR</t>
  </si>
  <si>
    <t>BCHR</t>
  </si>
  <si>
    <t>C</t>
  </si>
  <si>
    <t>CH</t>
  </si>
  <si>
    <t>CR</t>
  </si>
  <si>
    <t>CHR</t>
  </si>
  <si>
    <t>H</t>
  </si>
  <si>
    <t>HR</t>
  </si>
  <si>
    <t>R</t>
  </si>
  <si>
    <t>None</t>
  </si>
  <si>
    <t>Max Overall Survival Months</t>
  </si>
  <si>
    <t>Best Combination</t>
  </si>
  <si>
    <t>overall_survival</t>
  </si>
  <si>
    <t>X Variable 16</t>
  </si>
  <si>
    <t>Overall Survival</t>
  </si>
  <si>
    <t>Predict Optimal Treatment</t>
  </si>
  <si>
    <t>Treatment</t>
  </si>
  <si>
    <t>Price</t>
  </si>
  <si>
    <t>Cost</t>
  </si>
  <si>
    <t>Budget</t>
  </si>
  <si>
    <t>Optimal</t>
  </si>
  <si>
    <t>Overall Survival in Months</t>
  </si>
  <si>
    <t xml:space="preserve"> </t>
  </si>
  <si>
    <t>Abbreviations</t>
  </si>
  <si>
    <t>Full Name</t>
  </si>
  <si>
    <t>Total Cost</t>
  </si>
  <si>
    <t>Predicted Results for All 16 Combinations of Treatments</t>
  </si>
  <si>
    <t>Optimal Treatment and Results</t>
  </si>
  <si>
    <t>Values</t>
  </si>
  <si>
    <t>Optimal Combination</t>
  </si>
  <si>
    <t>Patient's Details</t>
  </si>
  <si>
    <t>Breast Cancer Type Detailed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</si>
</sst>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Calibri"/>
      <family val="2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0" fontId="19" fillId="0" borderId="0" xfId="0" applyFont="1" applyAlignment="1">
      <alignment vertical="center"/>
    </xf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15" xfId="0" applyFill="1" applyBorder="1"/>
    <xf numFmtId="0" fontId="19" fillId="33" borderId="16" xfId="0" applyFont="1" applyFill="1" applyBorder="1" applyAlignment="1">
      <alignment vertical="center"/>
    </xf>
    <xf numFmtId="0" fontId="0" fillId="33" borderId="0" xfId="0" applyFill="1"/>
    <xf numFmtId="0" fontId="0" fillId="33" borderId="16" xfId="0" applyFill="1" applyBorder="1"/>
    <xf numFmtId="0" fontId="0" fillId="33" borderId="17" xfId="0" applyFill="1" applyBorder="1"/>
    <xf numFmtId="0" fontId="0" fillId="33" borderId="10" xfId="0" applyFill="1" applyBorder="1"/>
    <xf numFmtId="0" fontId="0" fillId="33" borderId="18" xfId="0" applyFill="1" applyBorder="1"/>
    <xf numFmtId="0" fontId="0" fillId="0" borderId="10" xfId="0" applyBorder="1"/>
    <xf numFmtId="0" fontId="18" fillId="0" borderId="11" xfId="0" applyFont="1" applyBorder="1" applyAlignment="1">
      <alignment horizontal="center"/>
    </xf>
    <xf numFmtId="0" fontId="18" fillId="0" borderId="11" xfId="0" applyFont="1" applyBorder="1" applyAlignment="1">
      <alignment horizontal="centerContinuous"/>
    </xf>
    <xf numFmtId="0" fontId="20" fillId="34" borderId="12" xfId="0" applyFont="1" applyFill="1" applyBorder="1" applyAlignment="1">
      <alignment horizontal="center" vertical="center"/>
    </xf>
    <xf numFmtId="0" fontId="20" fillId="34" borderId="13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7" xfId="0" applyFont="1" applyFill="1" applyBorder="1" applyAlignment="1">
      <alignment horizontal="center" vertical="center"/>
    </xf>
    <xf numFmtId="0" fontId="20" fillId="34" borderId="10" xfId="0" applyFont="1" applyFill="1" applyBorder="1" applyAlignment="1">
      <alignment horizontal="center" vertical="center"/>
    </xf>
    <xf numFmtId="0" fontId="20" fillId="34" borderId="18" xfId="0" applyFont="1" applyFill="1" applyBorder="1" applyAlignment="1">
      <alignment horizontal="center" vertical="center"/>
    </xf>
    <xf numFmtId="0" fontId="19" fillId="34" borderId="19" xfId="0" applyFont="1" applyFill="1" applyBorder="1"/>
    <xf numFmtId="0" fontId="19" fillId="35" borderId="19" xfId="0" applyFont="1" applyFill="1" applyBorder="1"/>
    <xf numFmtId="0" fontId="0" fillId="36" borderId="12" xfId="0" applyFill="1" applyBorder="1"/>
    <xf numFmtId="0" fontId="0" fillId="36" borderId="13" xfId="0" applyFill="1" applyBorder="1"/>
    <xf numFmtId="0" fontId="0" fillId="36" borderId="14" xfId="0" applyFill="1" applyBorder="1"/>
    <xf numFmtId="0" fontId="0" fillId="36" borderId="15" xfId="0" applyFill="1" applyBorder="1"/>
    <xf numFmtId="0" fontId="0" fillId="36" borderId="0" xfId="0" applyFill="1" applyBorder="1"/>
    <xf numFmtId="0" fontId="0" fillId="36" borderId="16" xfId="0" applyFill="1" applyBorder="1"/>
    <xf numFmtId="0" fontId="19" fillId="36" borderId="19" xfId="0" applyFont="1" applyFill="1" applyBorder="1"/>
    <xf numFmtId="0" fontId="0" fillId="36" borderId="17" xfId="0" applyFill="1" applyBorder="1"/>
    <xf numFmtId="0" fontId="0" fillId="36" borderId="10" xfId="0" applyFill="1" applyBorder="1"/>
    <xf numFmtId="0" fontId="0" fillId="36" borderId="18" xfId="0" applyFill="1" applyBorder="1"/>
    <xf numFmtId="0" fontId="22" fillId="36" borderId="12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0" fontId="22" fillId="36" borderId="14" xfId="0" applyFont="1" applyFill="1" applyBorder="1" applyAlignment="1">
      <alignment horizontal="center" vertical="center"/>
    </xf>
    <xf numFmtId="0" fontId="22" fillId="36" borderId="15" xfId="0" applyFont="1" applyFill="1" applyBorder="1" applyAlignment="1">
      <alignment horizontal="center" vertical="center"/>
    </xf>
    <xf numFmtId="0" fontId="22" fillId="36" borderId="0" xfId="0" applyFont="1" applyFill="1" applyBorder="1" applyAlignment="1">
      <alignment horizontal="center" vertical="center"/>
    </xf>
    <xf numFmtId="0" fontId="22" fillId="36" borderId="16" xfId="0" applyFont="1" applyFill="1" applyBorder="1" applyAlignment="1">
      <alignment horizontal="center" vertical="center"/>
    </xf>
    <xf numFmtId="0" fontId="22" fillId="36" borderId="17" xfId="0" applyFont="1" applyFill="1" applyBorder="1" applyAlignment="1">
      <alignment horizontal="center" vertical="center"/>
    </xf>
    <xf numFmtId="0" fontId="22" fillId="36" borderId="10" xfId="0" applyFont="1" applyFill="1" applyBorder="1" applyAlignment="1">
      <alignment horizontal="center" vertical="center"/>
    </xf>
    <xf numFmtId="0" fontId="22" fillId="36" borderId="18" xfId="0" applyFont="1" applyFill="1" applyBorder="1" applyAlignment="1">
      <alignment horizontal="center" vertical="center"/>
    </xf>
    <xf numFmtId="0" fontId="19" fillId="37" borderId="19" xfId="0" applyFont="1" applyFill="1" applyBorder="1"/>
    <xf numFmtId="0" fontId="19" fillId="36" borderId="0" xfId="0" applyFont="1" applyFill="1" applyBorder="1"/>
    <xf numFmtId="0" fontId="23" fillId="35" borderId="19" xfId="0" applyFont="1" applyFill="1" applyBorder="1"/>
    <xf numFmtId="0" fontId="19" fillId="36" borderId="19" xfId="0" applyFont="1" applyFill="1" applyBorder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EF2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'All Results'!$Q$16</c:f>
              <c:strCache>
                <c:ptCount val="1"/>
                <c:pt idx="0">
                  <c:v>Overall Survival in Months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'All Results'!$P$17:$P$32</c:f>
              <c:strCache>
                <c:ptCount val="16"/>
                <c:pt idx="0">
                  <c:v>B</c:v>
                </c:pt>
                <c:pt idx="1">
                  <c:v>BR</c:v>
                </c:pt>
                <c:pt idx="2">
                  <c:v>BH</c:v>
                </c:pt>
                <c:pt idx="3">
                  <c:v>BHR</c:v>
                </c:pt>
                <c:pt idx="4">
                  <c:v>BC</c:v>
                </c:pt>
                <c:pt idx="5">
                  <c:v>BCR</c:v>
                </c:pt>
                <c:pt idx="6">
                  <c:v>BCH</c:v>
                </c:pt>
                <c:pt idx="7">
                  <c:v>BCHR</c:v>
                </c:pt>
                <c:pt idx="8">
                  <c:v>None</c:v>
                </c:pt>
                <c:pt idx="9">
                  <c:v>R</c:v>
                </c:pt>
                <c:pt idx="10">
                  <c:v>H</c:v>
                </c:pt>
                <c:pt idx="11">
                  <c:v>HR</c:v>
                </c:pt>
                <c:pt idx="12">
                  <c:v>C</c:v>
                </c:pt>
                <c:pt idx="13">
                  <c:v>CR</c:v>
                </c:pt>
                <c:pt idx="14">
                  <c:v>CH</c:v>
                </c:pt>
                <c:pt idx="15">
                  <c:v>CHR</c:v>
                </c:pt>
              </c:strCache>
            </c:strRef>
          </c:cat>
          <c:val>
            <c:numRef>
              <c:f>'All Results'!$Q$17:$Q$32</c:f>
              <c:numCache>
                <c:formatCode>General</c:formatCode>
                <c:ptCount val="16"/>
                <c:pt idx="0">
                  <c:v>191.84996354873078</c:v>
                </c:pt>
                <c:pt idx="1">
                  <c:v>188.92838204894053</c:v>
                </c:pt>
                <c:pt idx="2">
                  <c:v>180.65591944620962</c:v>
                </c:pt>
                <c:pt idx="3">
                  <c:v>177.73433794641937</c:v>
                </c:pt>
                <c:pt idx="4">
                  <c:v>163.97381395758012</c:v>
                </c:pt>
                <c:pt idx="5">
                  <c:v>161.05223245778987</c:v>
                </c:pt>
                <c:pt idx="6">
                  <c:v>152.77976985505893</c:v>
                </c:pt>
                <c:pt idx="7">
                  <c:v>149.85818835526868</c:v>
                </c:pt>
                <c:pt idx="8">
                  <c:v>123.75295131551914</c:v>
                </c:pt>
                <c:pt idx="9">
                  <c:v>120.83136981572889</c:v>
                </c:pt>
                <c:pt idx="10">
                  <c:v>112.55890721299795</c:v>
                </c:pt>
                <c:pt idx="11">
                  <c:v>109.6373257132077</c:v>
                </c:pt>
                <c:pt idx="12">
                  <c:v>95.876801724368477</c:v>
                </c:pt>
                <c:pt idx="13">
                  <c:v>92.955220224578227</c:v>
                </c:pt>
                <c:pt idx="14">
                  <c:v>84.682757621847301</c:v>
                </c:pt>
                <c:pt idx="15">
                  <c:v>81.761176122057051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54-4647-BD22-BFEA7A8B4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24109679"/>
        <c:axId val="868955423"/>
      </c:barChart>
      <c:catAx>
        <c:axId val="82410967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955423"/>
        <c:crosses val="autoZero"/>
        <c:auto val="1"/>
        <c:lblAlgn val="ctr"/>
        <c:lblOffset val="100"/>
        <c:noMultiLvlLbl val="0"/>
      </c:catAx>
      <c:valAx>
        <c:axId val="86895542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109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2" fmlaLink="$C$6" max="1" page="1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609600</xdr:colOff>
          <xdr:row>6</xdr:row>
          <xdr:rowOff>104775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200025</xdr:rowOff>
        </xdr:from>
        <xdr:to>
          <xdr:col>4</xdr:col>
          <xdr:colOff>0</xdr:colOff>
          <xdr:row>6</xdr:row>
          <xdr:rowOff>104775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6</xdr:row>
          <xdr:rowOff>104775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4</xdr:row>
          <xdr:rowOff>200025</xdr:rowOff>
        </xdr:from>
        <xdr:to>
          <xdr:col>3</xdr:col>
          <xdr:colOff>609600</xdr:colOff>
          <xdr:row>6</xdr:row>
          <xdr:rowOff>104775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Assessment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200025</xdr:rowOff>
        </xdr:from>
        <xdr:to>
          <xdr:col>8</xdr:col>
          <xdr:colOff>123825</xdr:colOff>
          <xdr:row>7</xdr:row>
          <xdr:rowOff>95250</xdr:rowOff>
        </xdr:to>
        <xdr:sp macro="" textlink="">
          <xdr:nvSpPr>
            <xdr:cNvPr id="3097" name="Spinner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0</xdr:rowOff>
    </xdr:from>
    <xdr:to>
      <xdr:col>14</xdr:col>
      <xdr:colOff>6350</xdr:colOff>
      <xdr:row>31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527E9A-731F-4811-8A78-B81F62736E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4094A-FE60-4A5A-B227-7695D16D323D}">
  <sheetPr codeName="Sheet3"/>
  <dimension ref="B1:I13"/>
  <sheetViews>
    <sheetView showGridLines="0" showRowColHeaders="0" zoomScale="265" zoomScaleNormal="265" workbookViewId="0">
      <selection activeCell="D9" sqref="D9"/>
    </sheetView>
  </sheetViews>
  <sheetFormatPr defaultRowHeight="15" x14ac:dyDescent="0.25"/>
  <cols>
    <col min="2" max="2" width="3.140625" customWidth="1"/>
    <col min="5" max="5" width="3.140625" customWidth="1"/>
    <col min="8" max="8" width="3" customWidth="1"/>
    <col min="9" max="9" width="2.140625" customWidth="1"/>
    <col min="10" max="10" width="3" customWidth="1"/>
    <col min="13" max="13" width="3.140625" customWidth="1"/>
    <col min="16" max="16" width="3" customWidth="1"/>
  </cols>
  <sheetData>
    <row r="1" spans="2:9" ht="15.75" thickBot="1" x14ac:dyDescent="0.3"/>
    <row r="2" spans="2:9" ht="15" customHeight="1" thickBot="1" x14ac:dyDescent="0.3">
      <c r="B2" s="3"/>
      <c r="C2" s="4"/>
      <c r="D2" s="4"/>
      <c r="E2" s="4"/>
      <c r="F2" s="4"/>
      <c r="G2" s="4"/>
      <c r="H2" s="5"/>
    </row>
    <row r="3" spans="2:9" ht="15" customHeight="1" x14ac:dyDescent="0.25">
      <c r="B3" s="6"/>
      <c r="C3" s="16" t="s">
        <v>89</v>
      </c>
      <c r="D3" s="17"/>
      <c r="E3" s="17"/>
      <c r="F3" s="17"/>
      <c r="G3" s="18"/>
      <c r="H3" s="7"/>
      <c r="I3" s="2"/>
    </row>
    <row r="4" spans="2:9" ht="15.75" customHeight="1" thickBot="1" x14ac:dyDescent="0.3">
      <c r="B4" s="6"/>
      <c r="C4" s="19"/>
      <c r="D4" s="20"/>
      <c r="E4" s="20"/>
      <c r="F4" s="20"/>
      <c r="G4" s="21"/>
      <c r="H4" s="7"/>
      <c r="I4" s="2"/>
    </row>
    <row r="5" spans="2:9" ht="15.75" customHeight="1" x14ac:dyDescent="0.25">
      <c r="B5" s="6"/>
      <c r="C5" s="8"/>
      <c r="D5" s="8"/>
      <c r="E5" s="8"/>
      <c r="F5" s="8"/>
      <c r="G5" s="8"/>
      <c r="H5" s="9"/>
      <c r="I5" s="2"/>
    </row>
    <row r="6" spans="2:9" x14ac:dyDescent="0.25">
      <c r="B6" s="6"/>
      <c r="C6" s="8">
        <v>1</v>
      </c>
      <c r="D6" s="8"/>
      <c r="E6" s="8"/>
      <c r="F6" s="8">
        <v>1</v>
      </c>
      <c r="G6" s="8"/>
      <c r="H6" s="9"/>
    </row>
    <row r="7" spans="2:9" x14ac:dyDescent="0.25">
      <c r="B7" s="6"/>
      <c r="C7" s="8"/>
      <c r="D7" s="8"/>
      <c r="E7" s="8"/>
      <c r="F7" s="8"/>
      <c r="G7" s="8"/>
      <c r="H7" s="9"/>
    </row>
    <row r="8" spans="2:9" ht="7.5" customHeight="1" thickBot="1" x14ac:dyDescent="0.3">
      <c r="B8" s="10"/>
      <c r="C8" s="11"/>
      <c r="D8" s="11"/>
      <c r="E8" s="11"/>
      <c r="F8" s="11"/>
      <c r="G8" s="11"/>
      <c r="H8" s="12"/>
    </row>
    <row r="9" spans="2:9" x14ac:dyDescent="0.25">
      <c r="G9" t="s">
        <v>96</v>
      </c>
    </row>
    <row r="12" spans="2:9" ht="15" customHeight="1" x14ac:dyDescent="0.25"/>
    <row r="13" spans="2:9" ht="15.75" customHeight="1" x14ac:dyDescent="0.25"/>
  </sheetData>
  <mergeCells count="1">
    <mergeCell ref="C3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3" name="Button 13">
              <controlPr defaultSize="0" print="0" autoFill="0" autoPict="0" macro="[0]!LinearReg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609600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4" name="Button 12">
              <controlPr defaultSize="0" print="0" autoFill="0" autoPict="0" macro="[0]!ShowData">
                <anchor moveWithCells="1">
                  <from>
                    <xdr:col>2</xdr:col>
                    <xdr:colOff>0</xdr:colOff>
                    <xdr:row>4</xdr:row>
                    <xdr:rowOff>200025</xdr:rowOff>
                  </from>
                  <to>
                    <xdr:col>4</xdr:col>
                    <xdr:colOff>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5" name="Button 22">
              <controlPr defaultSize="0" print="0" autoFill="0" autoPict="0" macro="[0]!_xludf.Clea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6" name="Button 20">
              <controlPr defaultSize="0" print="0" autoFill="0" autoPict="0" macro="[0]!Assessment">
                <anchor moveWithCells="1">
                  <from>
                    <xdr:col>1</xdr:col>
                    <xdr:colOff>209550</xdr:colOff>
                    <xdr:row>4</xdr:row>
                    <xdr:rowOff>200025</xdr:rowOff>
                  </from>
                  <to>
                    <xdr:col>3</xdr:col>
                    <xdr:colOff>609600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7" name="Spinner 25">
              <controlPr defaultSize="0" autoPict="0" macro="[0]!Macro17">
                <anchor moveWithCells="1" sizeWithCells="1">
                  <from>
                    <xdr:col>8</xdr:col>
                    <xdr:colOff>0</xdr:colOff>
                    <xdr:row>0</xdr:row>
                    <xdr:rowOff>200025</xdr:rowOff>
                  </from>
                  <to>
                    <xdr:col>8</xdr:col>
                    <xdr:colOff>123825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FA7A7-1C57-4907-A949-8695C92DDDD5}">
  <dimension ref="B1:I19"/>
  <sheetViews>
    <sheetView showGridLines="0" showRowColHeaders="0" workbookViewId="0">
      <selection activeCell="F17" sqref="F17"/>
    </sheetView>
  </sheetViews>
  <sheetFormatPr defaultRowHeight="15" x14ac:dyDescent="0.25"/>
  <cols>
    <col min="3" max="3" width="37.42578125" bestFit="1" customWidth="1"/>
    <col min="4" max="4" width="38.85546875" bestFit="1" customWidth="1"/>
    <col min="6" max="6" width="26" bestFit="1" customWidth="1"/>
    <col min="7" max="7" width="32" bestFit="1" customWidth="1"/>
    <col min="8" max="8" width="12.5703125" bestFit="1" customWidth="1"/>
  </cols>
  <sheetData>
    <row r="1" spans="2:9" ht="15.75" thickBot="1" x14ac:dyDescent="0.3"/>
    <row r="2" spans="2:9" x14ac:dyDescent="0.25">
      <c r="B2" s="24"/>
      <c r="C2" s="25"/>
      <c r="D2" s="25"/>
      <c r="E2" s="25"/>
      <c r="F2" s="25"/>
      <c r="G2" s="25"/>
      <c r="H2" s="25"/>
      <c r="I2" s="26"/>
    </row>
    <row r="3" spans="2:9" ht="15.75" thickBot="1" x14ac:dyDescent="0.3">
      <c r="B3" s="27"/>
      <c r="C3" s="28"/>
      <c r="D3" s="28"/>
      <c r="E3" s="28"/>
      <c r="F3" s="28"/>
      <c r="G3" s="28"/>
      <c r="H3" s="28"/>
      <c r="I3" s="29"/>
    </row>
    <row r="4" spans="2:9" x14ac:dyDescent="0.25">
      <c r="B4" s="27"/>
      <c r="C4" s="34" t="s">
        <v>101</v>
      </c>
      <c r="D4" s="35"/>
      <c r="E4" s="35"/>
      <c r="F4" s="35"/>
      <c r="G4" s="35"/>
      <c r="H4" s="36"/>
      <c r="I4" s="29"/>
    </row>
    <row r="5" spans="2:9" x14ac:dyDescent="0.25">
      <c r="B5" s="27"/>
      <c r="C5" s="37"/>
      <c r="D5" s="38"/>
      <c r="E5" s="38"/>
      <c r="F5" s="38"/>
      <c r="G5" s="38"/>
      <c r="H5" s="39"/>
      <c r="I5" s="29"/>
    </row>
    <row r="6" spans="2:9" ht="15.75" thickBot="1" x14ac:dyDescent="0.3">
      <c r="B6" s="27"/>
      <c r="C6" s="40"/>
      <c r="D6" s="41"/>
      <c r="E6" s="41"/>
      <c r="F6" s="41"/>
      <c r="G6" s="41"/>
      <c r="H6" s="42"/>
      <c r="I6" s="29"/>
    </row>
    <row r="7" spans="2:9" x14ac:dyDescent="0.25">
      <c r="B7" s="27"/>
      <c r="C7" s="28"/>
      <c r="D7" s="28"/>
      <c r="E7" s="28"/>
      <c r="F7" s="28"/>
      <c r="G7" s="28"/>
      <c r="H7" s="28"/>
      <c r="I7" s="29"/>
    </row>
    <row r="8" spans="2:9" x14ac:dyDescent="0.25">
      <c r="B8" s="27"/>
      <c r="C8" s="28"/>
      <c r="D8" s="28"/>
      <c r="E8" s="28"/>
      <c r="F8" s="28"/>
      <c r="G8" s="28"/>
      <c r="H8" s="28"/>
      <c r="I8" s="29"/>
    </row>
    <row r="9" spans="2:9" ht="18.75" x14ac:dyDescent="0.3">
      <c r="B9" s="27"/>
      <c r="C9" s="43" t="s">
        <v>104</v>
      </c>
      <c r="D9" s="43" t="s">
        <v>102</v>
      </c>
      <c r="E9" s="44"/>
      <c r="F9" s="22" t="s">
        <v>90</v>
      </c>
      <c r="G9" s="22" t="s">
        <v>98</v>
      </c>
      <c r="H9" s="22" t="s">
        <v>91</v>
      </c>
      <c r="I9" s="29"/>
    </row>
    <row r="10" spans="2:9" ht="18.75" x14ac:dyDescent="0.3">
      <c r="B10" s="27"/>
      <c r="C10" s="30" t="s" cm="1">
        <v>14</v>
      </c>
      <c r="D10" s="30">
        <v>43</v>
      </c>
      <c r="E10" s="44"/>
      <c r="F10" s="30" t="s" cm="1">
        <v>68</v>
      </c>
      <c r="G10" s="30" t="s">
        <v>62</v>
      </c>
      <c r="H10" s="30">
        <v>5200</v>
      </c>
      <c r="I10" s="29"/>
    </row>
    <row r="11" spans="2:9" ht="18.75" x14ac:dyDescent="0.3">
      <c r="B11" s="27"/>
      <c r="C11" s="30" t="s">
        <v>19</v>
      </c>
      <c r="D11" s="30">
        <v>10</v>
      </c>
      <c r="E11" s="44"/>
      <c r="F11" s="30" t="s">
        <v>76</v>
      </c>
      <c r="G11" s="30" t="s">
        <v>63</v>
      </c>
      <c r="H11" s="30">
        <v>4500</v>
      </c>
      <c r="I11" s="29"/>
    </row>
    <row r="12" spans="2:9" ht="18.75" x14ac:dyDescent="0.3">
      <c r="B12" s="27"/>
      <c r="C12" s="30" t="s">
        <v>20</v>
      </c>
      <c r="D12" s="30">
        <v>1</v>
      </c>
      <c r="E12" s="44"/>
      <c r="F12" s="30" t="s">
        <v>80</v>
      </c>
      <c r="G12" s="30" t="s">
        <v>64</v>
      </c>
      <c r="H12" s="30">
        <v>2440</v>
      </c>
      <c r="I12" s="29"/>
    </row>
    <row r="13" spans="2:9" ht="18.75" x14ac:dyDescent="0.3">
      <c r="B13" s="27"/>
      <c r="C13" s="30" t="s">
        <v>16</v>
      </c>
      <c r="D13" s="30">
        <v>0</v>
      </c>
      <c r="E13" s="44"/>
      <c r="F13" s="30" t="s">
        <v>82</v>
      </c>
      <c r="G13" s="30" t="s">
        <v>65</v>
      </c>
      <c r="H13" s="30">
        <v>2800</v>
      </c>
      <c r="I13" s="29"/>
    </row>
    <row r="14" spans="2:9" ht="18.75" x14ac:dyDescent="0.3">
      <c r="B14" s="27"/>
      <c r="C14" s="30" t="s">
        <v>17</v>
      </c>
      <c r="D14" s="30">
        <v>2</v>
      </c>
      <c r="E14" s="44"/>
      <c r="F14" s="44"/>
      <c r="G14" s="44"/>
      <c r="H14" s="44"/>
      <c r="I14" s="29"/>
    </row>
    <row r="15" spans="2:9" ht="18.75" x14ac:dyDescent="0.3">
      <c r="B15" s="27"/>
      <c r="C15" s="30" t="s">
        <v>18</v>
      </c>
      <c r="D15" s="30">
        <v>4.0199999999999996</v>
      </c>
      <c r="E15" s="44"/>
      <c r="F15" s="44"/>
      <c r="G15" s="44"/>
      <c r="H15" s="44"/>
      <c r="I15" s="29"/>
    </row>
    <row r="16" spans="2:9" ht="18.75" x14ac:dyDescent="0.3">
      <c r="B16" s="27"/>
      <c r="C16" s="30" t="s">
        <v>105</v>
      </c>
      <c r="D16" s="46" t="s">
        <v>10</v>
      </c>
      <c r="E16" s="44"/>
      <c r="F16" s="45" t="s">
        <v>103</v>
      </c>
      <c r="G16" s="45" t="s">
        <v>95</v>
      </c>
      <c r="H16" s="45" t="s">
        <v>99</v>
      </c>
      <c r="I16" s="29"/>
    </row>
    <row r="17" spans="2:9" ht="18.75" x14ac:dyDescent="0.3">
      <c r="B17" s="27"/>
      <c r="C17" s="30" t="s">
        <v>93</v>
      </c>
      <c r="D17" s="30">
        <v>10000</v>
      </c>
      <c r="E17" s="44"/>
      <c r="F17" s="30" t="str">
        <f>Calculation!L38</f>
        <v>B</v>
      </c>
      <c r="G17" s="30" cm="1">
        <f t="array" ref="G17:H17">Calculation!Q38:R38</f>
        <v>191.84996354873078</v>
      </c>
      <c r="H17" s="30">
        <v>5200</v>
      </c>
      <c r="I17" s="29"/>
    </row>
    <row r="18" spans="2:9" x14ac:dyDescent="0.25">
      <c r="B18" s="27"/>
      <c r="C18" s="28"/>
      <c r="D18" s="28"/>
      <c r="E18" s="28"/>
      <c r="F18" s="28"/>
      <c r="G18" s="28"/>
      <c r="H18" s="28"/>
      <c r="I18" s="29"/>
    </row>
    <row r="19" spans="2:9" ht="15.75" thickBot="1" x14ac:dyDescent="0.3">
      <c r="B19" s="31"/>
      <c r="C19" s="32"/>
      <c r="D19" s="32"/>
      <c r="E19" s="32"/>
      <c r="F19" s="32"/>
      <c r="G19" s="32"/>
      <c r="H19" s="32"/>
      <c r="I19" s="33"/>
    </row>
  </sheetData>
  <mergeCells count="1">
    <mergeCell ref="C4:H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22280-DA64-4318-A03D-7B668F67D7E5}">
  <dimension ref="B1:S34"/>
  <sheetViews>
    <sheetView showGridLines="0" showRowColHeaders="0" tabSelected="1" workbookViewId="0">
      <selection activeCell="T16" sqref="T16"/>
    </sheetView>
  </sheetViews>
  <sheetFormatPr defaultRowHeight="15" x14ac:dyDescent="0.25"/>
  <cols>
    <col min="16" max="16" width="16.7109375" bestFit="1" customWidth="1"/>
    <col min="17" max="17" width="30.85546875" bestFit="1" customWidth="1"/>
    <col min="18" max="18" width="12.140625" bestFit="1" customWidth="1"/>
  </cols>
  <sheetData>
    <row r="1" spans="2:19" ht="15.75" thickBot="1" x14ac:dyDescent="0.3"/>
    <row r="2" spans="2:19" x14ac:dyDescent="0.25">
      <c r="B2" s="24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6"/>
    </row>
    <row r="3" spans="2:19" ht="15.75" thickBot="1" x14ac:dyDescent="0.3">
      <c r="B3" s="27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9"/>
    </row>
    <row r="4" spans="2:19" x14ac:dyDescent="0.25">
      <c r="B4" s="27"/>
      <c r="C4" s="34" t="s">
        <v>100</v>
      </c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29"/>
    </row>
    <row r="5" spans="2:19" x14ac:dyDescent="0.25">
      <c r="B5" s="27"/>
      <c r="C5" s="37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9"/>
      <c r="S5" s="29"/>
    </row>
    <row r="6" spans="2:19" ht="15.75" thickBot="1" x14ac:dyDescent="0.3">
      <c r="B6" s="27"/>
      <c r="C6" s="40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2"/>
      <c r="S6" s="29"/>
    </row>
    <row r="7" spans="2:19" x14ac:dyDescent="0.25">
      <c r="B7" s="27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9"/>
    </row>
    <row r="8" spans="2:19" x14ac:dyDescent="0.25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2:19" ht="18.75" x14ac:dyDescent="0.3">
      <c r="B9" s="27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2" t="s">
        <v>97</v>
      </c>
      <c r="Q9" s="22" t="s">
        <v>98</v>
      </c>
      <c r="R9" s="22" t="s">
        <v>92</v>
      </c>
      <c r="S9" s="29"/>
    </row>
    <row r="10" spans="2:19" ht="18.75" x14ac:dyDescent="0.3">
      <c r="B10" s="27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30" t="s">
        <v>68</v>
      </c>
      <c r="Q10" s="30" t="s">
        <v>62</v>
      </c>
      <c r="R10" s="30">
        <v>5200</v>
      </c>
      <c r="S10" s="29"/>
    </row>
    <row r="11" spans="2:19" ht="18.75" x14ac:dyDescent="0.3">
      <c r="B11" s="27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30" t="s">
        <v>76</v>
      </c>
      <c r="Q11" s="30" t="s">
        <v>63</v>
      </c>
      <c r="R11" s="30">
        <v>4500</v>
      </c>
      <c r="S11" s="29"/>
    </row>
    <row r="12" spans="2:19" ht="18.75" x14ac:dyDescent="0.3">
      <c r="B12" s="27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30" t="s">
        <v>80</v>
      </c>
      <c r="Q12" s="30" t="s">
        <v>64</v>
      </c>
      <c r="R12" s="30">
        <v>2440</v>
      </c>
      <c r="S12" s="29"/>
    </row>
    <row r="13" spans="2:19" ht="18.75" x14ac:dyDescent="0.3">
      <c r="B13" s="27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30" t="s">
        <v>82</v>
      </c>
      <c r="Q13" s="30" t="s">
        <v>65</v>
      </c>
      <c r="R13" s="30">
        <v>2800</v>
      </c>
      <c r="S13" s="29"/>
    </row>
    <row r="14" spans="2:19" x14ac:dyDescent="0.25">
      <c r="B14" s="27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2:19" x14ac:dyDescent="0.25">
      <c r="B15" s="27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9"/>
    </row>
    <row r="16" spans="2:19" ht="18.75" x14ac:dyDescent="0.3">
      <c r="B16" s="27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3" t="s">
        <v>67</v>
      </c>
      <c r="Q16" s="23" t="s">
        <v>95</v>
      </c>
      <c r="R16" s="23" t="s">
        <v>99</v>
      </c>
      <c r="S16" s="29"/>
    </row>
    <row r="17" spans="2:19" ht="18.75" x14ac:dyDescent="0.3">
      <c r="B17" s="27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30" t="s" cm="1">
        <v>68</v>
      </c>
      <c r="Q17" s="30">
        <v>191.84996354873078</v>
      </c>
      <c r="R17" s="30">
        <v>5200</v>
      </c>
      <c r="S17" s="29"/>
    </row>
    <row r="18" spans="2:19" ht="18.75" x14ac:dyDescent="0.3">
      <c r="B18" s="27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30" t="s">
        <v>71</v>
      </c>
      <c r="Q18" s="30">
        <v>188.92838204894053</v>
      </c>
      <c r="R18" s="30">
        <v>8000</v>
      </c>
      <c r="S18" s="29"/>
    </row>
    <row r="19" spans="2:19" ht="18.75" x14ac:dyDescent="0.3">
      <c r="B19" s="27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30" t="s">
        <v>70</v>
      </c>
      <c r="Q19" s="30">
        <v>180.65591944620962</v>
      </c>
      <c r="R19" s="30">
        <v>7640</v>
      </c>
      <c r="S19" s="29"/>
    </row>
    <row r="20" spans="2:19" ht="18.75" x14ac:dyDescent="0.3">
      <c r="B20" s="27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30" t="s">
        <v>74</v>
      </c>
      <c r="Q20" s="30">
        <v>177.73433794641937</v>
      </c>
      <c r="R20" s="30">
        <v>10440</v>
      </c>
      <c r="S20" s="29"/>
    </row>
    <row r="21" spans="2:19" ht="18.75" x14ac:dyDescent="0.3">
      <c r="B21" s="27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30" t="s">
        <v>69</v>
      </c>
      <c r="Q21" s="30">
        <v>163.97381395758012</v>
      </c>
      <c r="R21" s="30">
        <v>9700</v>
      </c>
      <c r="S21" s="29"/>
    </row>
    <row r="22" spans="2:19" ht="18.75" x14ac:dyDescent="0.3">
      <c r="B22" s="27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30" t="s">
        <v>73</v>
      </c>
      <c r="Q22" s="30">
        <v>161.05223245778987</v>
      </c>
      <c r="R22" s="30">
        <v>12500</v>
      </c>
      <c r="S22" s="29"/>
    </row>
    <row r="23" spans="2:19" ht="18.75" x14ac:dyDescent="0.3">
      <c r="B23" s="27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30" t="s">
        <v>72</v>
      </c>
      <c r="Q23" s="30">
        <v>152.77976985505893</v>
      </c>
      <c r="R23" s="30">
        <v>12140</v>
      </c>
      <c r="S23" s="29"/>
    </row>
    <row r="24" spans="2:19" ht="18.75" x14ac:dyDescent="0.3"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30" t="s">
        <v>75</v>
      </c>
      <c r="Q24" s="30">
        <v>149.85818835526868</v>
      </c>
      <c r="R24" s="30">
        <v>14940</v>
      </c>
      <c r="S24" s="29"/>
    </row>
    <row r="25" spans="2:19" ht="18.75" x14ac:dyDescent="0.3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30" t="s">
        <v>83</v>
      </c>
      <c r="Q25" s="30">
        <v>123.75295131551914</v>
      </c>
      <c r="R25" s="30">
        <v>0</v>
      </c>
      <c r="S25" s="29"/>
    </row>
    <row r="26" spans="2:19" ht="18.75" x14ac:dyDescent="0.3">
      <c r="B26" s="27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30" t="s">
        <v>82</v>
      </c>
      <c r="Q26" s="30">
        <v>120.83136981572889</v>
      </c>
      <c r="R26" s="30">
        <v>2800</v>
      </c>
      <c r="S26" s="29"/>
    </row>
    <row r="27" spans="2:19" ht="18.75" x14ac:dyDescent="0.3">
      <c r="B27" s="27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30" t="s">
        <v>80</v>
      </c>
      <c r="Q27" s="30">
        <v>112.55890721299795</v>
      </c>
      <c r="R27" s="30">
        <v>2440</v>
      </c>
      <c r="S27" s="29"/>
    </row>
    <row r="28" spans="2:19" ht="18.75" x14ac:dyDescent="0.3">
      <c r="B28" s="27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30" t="s">
        <v>81</v>
      </c>
      <c r="Q28" s="30">
        <v>109.6373257132077</v>
      </c>
      <c r="R28" s="30">
        <v>5240</v>
      </c>
      <c r="S28" s="29"/>
    </row>
    <row r="29" spans="2:19" ht="18.75" x14ac:dyDescent="0.3">
      <c r="B29" s="27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30" t="s">
        <v>76</v>
      </c>
      <c r="Q29" s="30">
        <v>95.876801724368477</v>
      </c>
      <c r="R29" s="30">
        <v>4500</v>
      </c>
      <c r="S29" s="29"/>
    </row>
    <row r="30" spans="2:19" ht="18.75" x14ac:dyDescent="0.3">
      <c r="B30" s="27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30" t="s">
        <v>78</v>
      </c>
      <c r="Q30" s="30">
        <v>92.955220224578227</v>
      </c>
      <c r="R30" s="30">
        <v>7300</v>
      </c>
      <c r="S30" s="29"/>
    </row>
    <row r="31" spans="2:19" ht="18.75" x14ac:dyDescent="0.3">
      <c r="B31" s="27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30" t="s">
        <v>77</v>
      </c>
      <c r="Q31" s="30">
        <v>84.682757621847301</v>
      </c>
      <c r="R31" s="30">
        <v>6940</v>
      </c>
      <c r="S31" s="29"/>
    </row>
    <row r="32" spans="2:19" ht="18.75" x14ac:dyDescent="0.3">
      <c r="B32" s="27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30" t="s">
        <v>79</v>
      </c>
      <c r="Q32" s="30">
        <v>81.761176122057051</v>
      </c>
      <c r="R32" s="30">
        <v>9740</v>
      </c>
      <c r="S32" s="29"/>
    </row>
    <row r="33" spans="2:19" x14ac:dyDescent="0.25">
      <c r="B33" s="27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9"/>
    </row>
    <row r="34" spans="2:19" ht="15.75" thickBot="1" x14ac:dyDescent="0.3">
      <c r="B34" s="31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3"/>
    </row>
  </sheetData>
  <sortState xmlns:xlrd2="http://schemas.microsoft.com/office/spreadsheetml/2017/richdata2" ref="P17:R32">
    <sortCondition descending="1" ref="Q17:Q32"/>
  </sortState>
  <mergeCells count="1">
    <mergeCell ref="C4:R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73733-8310-4308-8EAC-BB84545B775B}">
  <sheetPr codeName="Sheet5"/>
  <dimension ref="A1:T42"/>
  <sheetViews>
    <sheetView zoomScale="85" zoomScaleNormal="85" workbookViewId="0">
      <selection activeCell="E8" sqref="E8"/>
    </sheetView>
  </sheetViews>
  <sheetFormatPr defaultRowHeight="15" x14ac:dyDescent="0.25"/>
  <cols>
    <col min="12" max="12" width="13.85546875" bestFit="1" customWidth="1"/>
    <col min="13" max="13" width="14.28515625" bestFit="1" customWidth="1"/>
    <col min="14" max="14" width="17" bestFit="1" customWidth="1"/>
    <col min="15" max="15" width="30.5703125" bestFit="1" customWidth="1"/>
    <col min="16" max="17" width="22.42578125" bestFit="1" customWidth="1"/>
    <col min="18" max="18" width="9.5703125" bestFit="1" customWidth="1"/>
    <col min="20" max="20" width="26.7109375" bestFit="1" customWidth="1"/>
  </cols>
  <sheetData>
    <row r="1" spans="1:20" x14ac:dyDescent="0.25">
      <c r="A1" t="s">
        <v>21</v>
      </c>
      <c r="L1" t="s">
        <v>15</v>
      </c>
      <c r="M1">
        <v>1</v>
      </c>
      <c r="O1" t="s">
        <v>60</v>
      </c>
      <c r="P1" t="s">
        <v>59</v>
      </c>
      <c r="R1" t="s">
        <v>90</v>
      </c>
      <c r="S1" t="s">
        <v>91</v>
      </c>
    </row>
    <row r="2" spans="1:20" ht="15.75" thickBot="1" x14ac:dyDescent="0.3">
      <c r="M2" t="str">
        <f>_xlfn.XLOOKUP(1,P8:P12,O8:O12)</f>
        <v>Breast Invasive Ductal Carcinoma</v>
      </c>
      <c r="O2" t="s">
        <v>14</v>
      </c>
      <c r="P2">
        <v>43</v>
      </c>
      <c r="R2" t="s">
        <v>68</v>
      </c>
      <c r="S2">
        <v>5200</v>
      </c>
    </row>
    <row r="3" spans="1:20" x14ac:dyDescent="0.25">
      <c r="A3" s="15" t="s">
        <v>22</v>
      </c>
      <c r="B3" s="15"/>
      <c r="O3" t="s">
        <v>19</v>
      </c>
      <c r="P3">
        <v>10</v>
      </c>
      <c r="R3" t="s">
        <v>76</v>
      </c>
      <c r="S3">
        <v>4500</v>
      </c>
    </row>
    <row r="4" spans="1:20" x14ac:dyDescent="0.25">
      <c r="A4" t="s">
        <v>23</v>
      </c>
      <c r="B4">
        <v>0.60120104993376</v>
      </c>
      <c r="O4" t="s">
        <v>20</v>
      </c>
      <c r="P4">
        <v>1</v>
      </c>
      <c r="R4" t="s">
        <v>80</v>
      </c>
      <c r="S4">
        <v>2440</v>
      </c>
    </row>
    <row r="5" spans="1:20" x14ac:dyDescent="0.25">
      <c r="A5" t="s">
        <v>24</v>
      </c>
      <c r="B5">
        <v>0.36144270244145499</v>
      </c>
      <c r="O5" t="s">
        <v>16</v>
      </c>
      <c r="P5">
        <v>0</v>
      </c>
      <c r="R5" t="s">
        <v>82</v>
      </c>
      <c r="S5">
        <v>2800</v>
      </c>
    </row>
    <row r="6" spans="1:20" x14ac:dyDescent="0.25">
      <c r="A6" t="s">
        <v>25</v>
      </c>
      <c r="B6">
        <v>0.35105138666210556</v>
      </c>
      <c r="O6" t="s">
        <v>17</v>
      </c>
      <c r="P6">
        <v>2</v>
      </c>
    </row>
    <row r="7" spans="1:20" x14ac:dyDescent="0.25">
      <c r="A7" t="s">
        <v>26</v>
      </c>
      <c r="B7">
        <v>64.321542614074019</v>
      </c>
      <c r="O7" t="s">
        <v>18</v>
      </c>
      <c r="P7">
        <v>4.0199999999999996</v>
      </c>
      <c r="R7" t="s">
        <v>93</v>
      </c>
      <c r="S7">
        <v>10000</v>
      </c>
    </row>
    <row r="8" spans="1:20" ht="15.75" thickBot="1" x14ac:dyDescent="0.3">
      <c r="A8" s="13" t="s">
        <v>27</v>
      </c>
      <c r="B8" s="13">
        <v>1034</v>
      </c>
      <c r="O8" t="s">
        <v>10</v>
      </c>
      <c r="P8">
        <f>IF($M$1=1,1,0)</f>
        <v>1</v>
      </c>
    </row>
    <row r="9" spans="1:20" x14ac:dyDescent="0.25">
      <c r="O9" t="s">
        <v>11</v>
      </c>
      <c r="P9">
        <f>IF($M$1=2,1,0)</f>
        <v>0</v>
      </c>
    </row>
    <row r="10" spans="1:20" ht="15.75" thickBot="1" x14ac:dyDescent="0.3">
      <c r="A10" t="s">
        <v>28</v>
      </c>
      <c r="O10" t="s">
        <v>12</v>
      </c>
      <c r="P10">
        <f>IF($M$1=3,1,0)</f>
        <v>0</v>
      </c>
    </row>
    <row r="11" spans="1:20" x14ac:dyDescent="0.25">
      <c r="A11" s="14"/>
      <c r="B11" s="14" t="s">
        <v>33</v>
      </c>
      <c r="C11" s="14" t="s">
        <v>34</v>
      </c>
      <c r="D11" s="14" t="s">
        <v>35</v>
      </c>
      <c r="E11" s="14" t="s">
        <v>36</v>
      </c>
      <c r="F11" s="14" t="s">
        <v>37</v>
      </c>
      <c r="O11" t="s">
        <v>13</v>
      </c>
      <c r="P11">
        <f>IF($M$1=4,1,0)</f>
        <v>0</v>
      </c>
    </row>
    <row r="12" spans="1:20" x14ac:dyDescent="0.25">
      <c r="A12" t="s">
        <v>29</v>
      </c>
      <c r="B12">
        <v>16</v>
      </c>
      <c r="C12">
        <v>2383967.1637883196</v>
      </c>
      <c r="D12">
        <v>148997.94773676997</v>
      </c>
      <c r="E12">
        <v>38.414581588028092</v>
      </c>
      <c r="F12">
        <v>8.1553597251260312E-93</v>
      </c>
      <c r="O12" t="s">
        <v>61</v>
      </c>
      <c r="P12">
        <f>IF($M$1=5,1,0)</f>
        <v>0</v>
      </c>
    </row>
    <row r="13" spans="1:20" x14ac:dyDescent="0.25">
      <c r="A13" t="s">
        <v>30</v>
      </c>
      <c r="B13">
        <v>1018</v>
      </c>
      <c r="C13">
        <v>4211731.5394507144</v>
      </c>
      <c r="D13">
        <v>4137.2608442541396</v>
      </c>
      <c r="O13" t="s">
        <v>88</v>
      </c>
      <c r="P13">
        <v>1</v>
      </c>
    </row>
    <row r="14" spans="1:20" ht="15.75" thickBot="1" x14ac:dyDescent="0.3">
      <c r="A14" s="13" t="s">
        <v>31</v>
      </c>
      <c r="B14" s="13">
        <v>1034</v>
      </c>
      <c r="C14" s="13">
        <v>6595698.7032390339</v>
      </c>
      <c r="D14" s="13"/>
      <c r="E14" s="13"/>
      <c r="F14" s="13"/>
    </row>
    <row r="15" spans="1:20" ht="15.75" thickBot="1" x14ac:dyDescent="0.3"/>
    <row r="16" spans="1:20" x14ac:dyDescent="0.25">
      <c r="A16" s="14"/>
      <c r="B16" s="14" t="s">
        <v>38</v>
      </c>
      <c r="C16" s="14" t="s">
        <v>26</v>
      </c>
      <c r="D16" s="14" t="s">
        <v>39</v>
      </c>
      <c r="E16" s="14" t="s">
        <v>40</v>
      </c>
      <c r="F16" s="14" t="s">
        <v>41</v>
      </c>
      <c r="G16" s="14" t="s">
        <v>42</v>
      </c>
      <c r="L16" s="1" t="s">
        <v>67</v>
      </c>
      <c r="M16" s="1" t="s">
        <v>62</v>
      </c>
      <c r="N16" t="s">
        <v>63</v>
      </c>
      <c r="O16" t="s">
        <v>64</v>
      </c>
      <c r="P16" t="s">
        <v>65</v>
      </c>
      <c r="Q16" t="s">
        <v>66</v>
      </c>
      <c r="R16" t="s">
        <v>92</v>
      </c>
      <c r="T16" t="s">
        <v>84</v>
      </c>
    </row>
    <row r="17" spans="1:20" x14ac:dyDescent="0.25">
      <c r="A17" t="s">
        <v>32</v>
      </c>
      <c r="B17">
        <v>66.921367646504493</v>
      </c>
      <c r="C17">
        <v>30.600367147409955</v>
      </c>
      <c r="D17">
        <v>2.1869465593052135</v>
      </c>
      <c r="E17">
        <v>2.8973400737580621E-2</v>
      </c>
      <c r="F17">
        <v>6.8743578955222659</v>
      </c>
      <c r="G17">
        <v>126.96837739748672</v>
      </c>
      <c r="L17" t="s">
        <v>68</v>
      </c>
      <c r="M17">
        <v>1</v>
      </c>
      <c r="N17">
        <v>0</v>
      </c>
      <c r="O17">
        <v>0</v>
      </c>
      <c r="P17">
        <v>0</v>
      </c>
      <c r="Q17">
        <f t="shared" ref="Q17:Q32" si="0">SUMPRODUCT($P$2:$P$13,$B$18:$B$29)+SUMPRODUCT($M$34:$P$34,M17:P17)+$B$17</f>
        <v>191.84996354873078</v>
      </c>
      <c r="R17">
        <f>S2</f>
        <v>5200</v>
      </c>
      <c r="T17">
        <f>MAX(Q17:Q32)</f>
        <v>191.84996354873078</v>
      </c>
    </row>
    <row r="18" spans="1:20" x14ac:dyDescent="0.25">
      <c r="A18" t="s">
        <v>43</v>
      </c>
      <c r="B18">
        <v>-0.74765085630990602</v>
      </c>
      <c r="C18">
        <v>0.19020422548531424</v>
      </c>
      <c r="D18">
        <v>-3.9307794261785869</v>
      </c>
      <c r="E18">
        <v>9.0394736825091909E-5</v>
      </c>
      <c r="F18">
        <v>-1.1208880441964373</v>
      </c>
      <c r="G18">
        <v>-0.37441366842337481</v>
      </c>
      <c r="L18" t="s">
        <v>69</v>
      </c>
      <c r="M18">
        <v>1</v>
      </c>
      <c r="N18">
        <v>1</v>
      </c>
      <c r="O18">
        <v>0</v>
      </c>
      <c r="P18">
        <v>0</v>
      </c>
      <c r="Q18">
        <f t="shared" si="0"/>
        <v>163.97381395758012</v>
      </c>
      <c r="R18">
        <f>S2+S3</f>
        <v>9700</v>
      </c>
    </row>
    <row r="19" spans="1:20" x14ac:dyDescent="0.25">
      <c r="A19" t="s">
        <v>44</v>
      </c>
      <c r="B19">
        <v>-0.18934591967593534</v>
      </c>
      <c r="C19">
        <v>0.15181881435999217</v>
      </c>
      <c r="D19">
        <v>-1.2471834961571959</v>
      </c>
      <c r="E19">
        <v>0.21261707189913567</v>
      </c>
      <c r="F19">
        <v>-0.48725952908923348</v>
      </c>
      <c r="G19">
        <v>0.1085676897373628</v>
      </c>
      <c r="L19" t="s">
        <v>70</v>
      </c>
      <c r="M19">
        <v>1</v>
      </c>
      <c r="N19">
        <v>0</v>
      </c>
      <c r="O19">
        <v>1</v>
      </c>
      <c r="P19">
        <v>0</v>
      </c>
      <c r="Q19">
        <f t="shared" si="0"/>
        <v>180.65591944620962</v>
      </c>
      <c r="R19">
        <f>S2+S4</f>
        <v>7640</v>
      </c>
      <c r="T19" t="s">
        <v>85</v>
      </c>
    </row>
    <row r="20" spans="1:20" x14ac:dyDescent="0.25">
      <c r="A20" t="s">
        <v>45</v>
      </c>
      <c r="B20">
        <v>-7.8577910744555188</v>
      </c>
      <c r="C20">
        <v>4.3186584885437744</v>
      </c>
      <c r="D20">
        <v>-1.8194981370488312</v>
      </c>
      <c r="E20">
        <v>6.9129088751953574E-2</v>
      </c>
      <c r="F20">
        <v>-16.332281825613041</v>
      </c>
      <c r="G20">
        <v>0.61669967670200432</v>
      </c>
      <c r="L20" t="s">
        <v>71</v>
      </c>
      <c r="M20">
        <v>1</v>
      </c>
      <c r="N20">
        <v>0</v>
      </c>
      <c r="O20">
        <v>0</v>
      </c>
      <c r="P20">
        <v>1</v>
      </c>
      <c r="Q20">
        <f t="shared" si="0"/>
        <v>188.92838204894053</v>
      </c>
      <c r="R20">
        <f>S2+S5</f>
        <v>8000</v>
      </c>
      <c r="T20" t="str">
        <f>_xlfn.XLOOKUP(T17,Q17:Q32,L17:L32)</f>
        <v>B</v>
      </c>
    </row>
    <row r="21" spans="1:20" x14ac:dyDescent="0.25">
      <c r="A21" t="s">
        <v>46</v>
      </c>
      <c r="B21">
        <v>-0.56061375367184607</v>
      </c>
      <c r="C21">
        <v>0.67414560417176927</v>
      </c>
      <c r="D21">
        <v>-0.83159149922900666</v>
      </c>
      <c r="E21">
        <v>0.40583457612644935</v>
      </c>
      <c r="F21">
        <v>-1.8834876745068232</v>
      </c>
      <c r="G21">
        <v>0.76226016716313105</v>
      </c>
      <c r="L21" t="s">
        <v>72</v>
      </c>
      <c r="M21">
        <v>1</v>
      </c>
      <c r="N21">
        <v>1</v>
      </c>
      <c r="O21">
        <v>1</v>
      </c>
      <c r="P21">
        <v>0</v>
      </c>
      <c r="Q21">
        <f t="shared" si="0"/>
        <v>152.77976985505893</v>
      </c>
      <c r="R21">
        <f>S2+S3+S4</f>
        <v>12140</v>
      </c>
    </row>
    <row r="22" spans="1:20" x14ac:dyDescent="0.25">
      <c r="A22" t="s">
        <v>47</v>
      </c>
      <c r="B22">
        <v>1.8034476688265471</v>
      </c>
      <c r="C22">
        <v>0.61625928182515244</v>
      </c>
      <c r="D22">
        <v>2.9264430119175526</v>
      </c>
      <c r="E22">
        <v>3.5048144332977698E-3</v>
      </c>
      <c r="F22">
        <v>0.59416390675180564</v>
      </c>
      <c r="G22">
        <v>3.0127314309012885</v>
      </c>
      <c r="L22" t="s">
        <v>73</v>
      </c>
      <c r="M22">
        <v>1</v>
      </c>
      <c r="N22">
        <v>1</v>
      </c>
      <c r="O22">
        <v>0</v>
      </c>
      <c r="P22">
        <v>1</v>
      </c>
      <c r="Q22">
        <f t="shared" si="0"/>
        <v>161.05223245778987</v>
      </c>
      <c r="R22">
        <f>S2+S3+S5</f>
        <v>12500</v>
      </c>
      <c r="T22" t="s">
        <v>92</v>
      </c>
    </row>
    <row r="23" spans="1:20" x14ac:dyDescent="0.25">
      <c r="A23" t="s">
        <v>48</v>
      </c>
      <c r="B23">
        <v>1.1325976708772383</v>
      </c>
      <c r="C23">
        <v>2.6700852252896423</v>
      </c>
      <c r="D23">
        <v>0.42418034456348774</v>
      </c>
      <c r="E23">
        <v>0.67152391439191761</v>
      </c>
      <c r="F23">
        <v>-4.1069026523236634</v>
      </c>
      <c r="G23">
        <v>6.3720979940781408</v>
      </c>
      <c r="L23" t="s">
        <v>74</v>
      </c>
      <c r="M23">
        <v>1</v>
      </c>
      <c r="N23">
        <v>0</v>
      </c>
      <c r="O23">
        <v>1</v>
      </c>
      <c r="P23">
        <v>1</v>
      </c>
      <c r="Q23">
        <f t="shared" si="0"/>
        <v>177.73433794641937</v>
      </c>
      <c r="R23">
        <f>S2+S4+S5</f>
        <v>10440</v>
      </c>
      <c r="T23">
        <f>_xlfn.XLOOKUP(T20,L17:L32,R17:R32)</f>
        <v>5200</v>
      </c>
    </row>
    <row r="24" spans="1:20" x14ac:dyDescent="0.25">
      <c r="A24" t="s">
        <v>49</v>
      </c>
      <c r="B24">
        <v>11.561992721236841</v>
      </c>
      <c r="C24">
        <v>18.162936285147872</v>
      </c>
      <c r="D24">
        <v>0.63657068106830672</v>
      </c>
      <c r="E24">
        <v>0.52454763294354922</v>
      </c>
      <c r="F24">
        <v>-24.079083314449058</v>
      </c>
      <c r="G24">
        <v>47.20306875692274</v>
      </c>
      <c r="L24" t="s">
        <v>75</v>
      </c>
      <c r="M24">
        <v>1</v>
      </c>
      <c r="N24">
        <v>1</v>
      </c>
      <c r="O24">
        <v>1</v>
      </c>
      <c r="P24">
        <v>1</v>
      </c>
      <c r="Q24">
        <f t="shared" si="0"/>
        <v>149.85818835526868</v>
      </c>
      <c r="R24">
        <f>SUM(S2:S5)</f>
        <v>14940</v>
      </c>
    </row>
    <row r="25" spans="1:20" x14ac:dyDescent="0.25">
      <c r="A25" t="s">
        <v>50</v>
      </c>
      <c r="B25">
        <v>20.714854335131523</v>
      </c>
      <c r="C25">
        <v>18.90170995374265</v>
      </c>
      <c r="D25">
        <v>1.095924886469325</v>
      </c>
      <c r="E25">
        <v>0.27337084177048576</v>
      </c>
      <c r="F25">
        <v>-16.375915080642937</v>
      </c>
      <c r="G25">
        <v>57.80562375090598</v>
      </c>
      <c r="L25" t="s">
        <v>76</v>
      </c>
      <c r="M25">
        <v>0</v>
      </c>
      <c r="N25">
        <v>1</v>
      </c>
      <c r="O25">
        <v>0</v>
      </c>
      <c r="P25">
        <v>0</v>
      </c>
      <c r="Q25">
        <f t="shared" si="0"/>
        <v>95.876801724368477</v>
      </c>
      <c r="R25">
        <f>S3</f>
        <v>4500</v>
      </c>
    </row>
    <row r="26" spans="1:20" x14ac:dyDescent="0.25">
      <c r="A26" t="s">
        <v>51</v>
      </c>
      <c r="B26">
        <v>18.189946725679675</v>
      </c>
      <c r="C26">
        <v>19.400010865533933</v>
      </c>
      <c r="D26">
        <v>0.93762559473592577</v>
      </c>
      <c r="E26">
        <v>0.3486592437845113</v>
      </c>
      <c r="F26">
        <v>-19.878637092291818</v>
      </c>
      <c r="G26">
        <v>56.258530543651169</v>
      </c>
      <c r="L26" t="s">
        <v>77</v>
      </c>
      <c r="M26">
        <v>0</v>
      </c>
      <c r="N26">
        <v>1</v>
      </c>
      <c r="O26">
        <v>1</v>
      </c>
      <c r="P26">
        <v>0</v>
      </c>
      <c r="Q26">
        <f t="shared" si="0"/>
        <v>84.682757621847301</v>
      </c>
      <c r="R26">
        <f>S3+S4</f>
        <v>6940</v>
      </c>
    </row>
    <row r="27" spans="1:20" x14ac:dyDescent="0.25">
      <c r="A27" t="s">
        <v>52</v>
      </c>
      <c r="B27">
        <v>0</v>
      </c>
      <c r="C27">
        <v>0</v>
      </c>
      <c r="D27">
        <v>65535</v>
      </c>
      <c r="E27" t="e">
        <v>#NUM!</v>
      </c>
      <c r="F27">
        <v>0</v>
      </c>
      <c r="G27">
        <v>0</v>
      </c>
      <c r="L27" t="s">
        <v>78</v>
      </c>
      <c r="M27">
        <v>0</v>
      </c>
      <c r="N27">
        <v>1</v>
      </c>
      <c r="O27">
        <v>0</v>
      </c>
      <c r="P27">
        <v>1</v>
      </c>
      <c r="Q27">
        <f t="shared" si="0"/>
        <v>92.955220224578227</v>
      </c>
      <c r="R27">
        <f>S3+S5</f>
        <v>7300</v>
      </c>
    </row>
    <row r="28" spans="1:20" x14ac:dyDescent="0.25">
      <c r="A28" t="s">
        <v>53</v>
      </c>
      <c r="B28">
        <v>26.680520687842826</v>
      </c>
      <c r="C28">
        <v>28.063149663189112</v>
      </c>
      <c r="D28">
        <v>0.9507315111831548</v>
      </c>
      <c r="E28" t="e">
        <v>#NUM!</v>
      </c>
      <c r="F28">
        <v>-28.387714714405259</v>
      </c>
      <c r="G28">
        <v>81.748756090090907</v>
      </c>
      <c r="L28" t="s">
        <v>79</v>
      </c>
      <c r="M28">
        <v>0</v>
      </c>
      <c r="N28">
        <v>1</v>
      </c>
      <c r="O28">
        <v>1</v>
      </c>
      <c r="P28">
        <v>1</v>
      </c>
      <c r="Q28">
        <f t="shared" si="0"/>
        <v>81.761176122057051</v>
      </c>
      <c r="R28">
        <f>S3+S4+S5</f>
        <v>9740</v>
      </c>
    </row>
    <row r="29" spans="1:20" x14ac:dyDescent="0.25">
      <c r="A29" t="s">
        <v>54</v>
      </c>
      <c r="B29">
        <v>79.009890065739043</v>
      </c>
      <c r="C29">
        <v>4.3992037238729624</v>
      </c>
      <c r="D29">
        <v>17.960043458996818</v>
      </c>
      <c r="E29">
        <v>7.2502897203392136E-63</v>
      </c>
      <c r="F29">
        <v>70.377345638038747</v>
      </c>
      <c r="G29">
        <v>87.642434493439339</v>
      </c>
      <c r="L29" t="s">
        <v>80</v>
      </c>
      <c r="M29">
        <v>0</v>
      </c>
      <c r="N29">
        <v>0</v>
      </c>
      <c r="O29">
        <v>1</v>
      </c>
      <c r="P29">
        <v>0</v>
      </c>
      <c r="Q29">
        <f t="shared" si="0"/>
        <v>112.55890721299795</v>
      </c>
      <c r="R29">
        <f>S4</f>
        <v>2440</v>
      </c>
    </row>
    <row r="30" spans="1:20" x14ac:dyDescent="0.25">
      <c r="A30" t="s">
        <v>55</v>
      </c>
      <c r="B30">
        <v>68.097012233211643</v>
      </c>
      <c r="C30">
        <v>20.772031135693741</v>
      </c>
      <c r="D30">
        <v>3.2783030117934278</v>
      </c>
      <c r="E30">
        <v>1.0796740031568113E-3</v>
      </c>
      <c r="F30">
        <v>27.336117105903313</v>
      </c>
      <c r="G30">
        <v>108.85790736051997</v>
      </c>
      <c r="L30" t="s">
        <v>81</v>
      </c>
      <c r="M30">
        <v>0</v>
      </c>
      <c r="N30">
        <v>0</v>
      </c>
      <c r="O30">
        <v>1</v>
      </c>
      <c r="P30">
        <v>1</v>
      </c>
      <c r="Q30">
        <f t="shared" si="0"/>
        <v>109.6373257132077</v>
      </c>
      <c r="R30">
        <f>S4+S5</f>
        <v>5240</v>
      </c>
    </row>
    <row r="31" spans="1:20" x14ac:dyDescent="0.25">
      <c r="A31" t="s">
        <v>56</v>
      </c>
      <c r="B31">
        <v>-27.876149591150661</v>
      </c>
      <c r="C31">
        <v>6.0363804356648032</v>
      </c>
      <c r="D31">
        <v>-4.6180239778211698</v>
      </c>
      <c r="E31">
        <v>4.3695537196591839E-6</v>
      </c>
      <c r="F31">
        <v>-39.72132102765358</v>
      </c>
      <c r="G31">
        <v>-16.030978154647741</v>
      </c>
      <c r="L31" t="s">
        <v>82</v>
      </c>
      <c r="M31">
        <v>0</v>
      </c>
      <c r="N31">
        <v>0</v>
      </c>
      <c r="O31">
        <v>0</v>
      </c>
      <c r="P31">
        <v>1</v>
      </c>
      <c r="Q31">
        <f t="shared" si="0"/>
        <v>120.83136981572889</v>
      </c>
      <c r="R31">
        <f>S5</f>
        <v>2800</v>
      </c>
    </row>
    <row r="32" spans="1:20" x14ac:dyDescent="0.25">
      <c r="A32" t="s">
        <v>57</v>
      </c>
      <c r="B32">
        <v>-11.194044102521183</v>
      </c>
      <c r="C32">
        <v>4.5542908597702585</v>
      </c>
      <c r="D32">
        <v>-2.4579115491727435</v>
      </c>
      <c r="E32">
        <v>1.4140501083181991E-2</v>
      </c>
      <c r="F32">
        <v>-20.130915557299815</v>
      </c>
      <c r="G32">
        <v>-2.2571726477425482</v>
      </c>
      <c r="L32" t="s">
        <v>83</v>
      </c>
      <c r="M32">
        <v>0</v>
      </c>
      <c r="N32">
        <v>0</v>
      </c>
      <c r="O32">
        <v>0</v>
      </c>
      <c r="P32">
        <v>0</v>
      </c>
      <c r="Q32">
        <f t="shared" si="0"/>
        <v>123.75295131551914</v>
      </c>
      <c r="R32">
        <v>0</v>
      </c>
    </row>
    <row r="33" spans="1:18" ht="15.75" thickBot="1" x14ac:dyDescent="0.3">
      <c r="A33" s="13" t="s">
        <v>87</v>
      </c>
      <c r="B33" s="13">
        <v>-2.9215814997902485</v>
      </c>
      <c r="C33" s="13">
        <v>4.523439474747458</v>
      </c>
      <c r="D33" s="13">
        <v>-0.64587611177296878</v>
      </c>
      <c r="E33" s="13">
        <v>0.51850515007398301</v>
      </c>
      <c r="F33" s="13">
        <v>-11.797913373185063</v>
      </c>
      <c r="G33" s="13">
        <v>5.9547503736045666</v>
      </c>
    </row>
    <row r="34" spans="1:18" x14ac:dyDescent="0.25">
      <c r="M34">
        <f>B30</f>
        <v>68.097012233211643</v>
      </c>
      <c r="N34">
        <f>B31</f>
        <v>-27.876149591150661</v>
      </c>
      <c r="O34">
        <f>B32</f>
        <v>-11.194044102521183</v>
      </c>
      <c r="P34">
        <f>B33</f>
        <v>-2.9215814997902485</v>
      </c>
    </row>
    <row r="37" spans="1:18" x14ac:dyDescent="0.25">
      <c r="L37" t="s">
        <v>94</v>
      </c>
      <c r="M37" s="1" t="s">
        <v>62</v>
      </c>
      <c r="N37" t="s">
        <v>63</v>
      </c>
      <c r="O37" t="s">
        <v>64</v>
      </c>
      <c r="P37" t="s">
        <v>65</v>
      </c>
      <c r="Q37" t="s">
        <v>95</v>
      </c>
      <c r="R37" t="s">
        <v>92</v>
      </c>
    </row>
    <row r="38" spans="1:18" x14ac:dyDescent="0.25">
      <c r="L38" t="str">
        <f>_xlfn.XLOOKUP(Q38,Q17:Q32,L17:L32)</f>
        <v>B</v>
      </c>
      <c r="M38">
        <v>1</v>
      </c>
      <c r="N38">
        <v>0</v>
      </c>
      <c r="O38">
        <v>0</v>
      </c>
      <c r="P38">
        <v>0</v>
      </c>
      <c r="Q38">
        <f>SUMPRODUCT($P$2:$P$13,$B$18:$B$29)+SUMPRODUCT($M$34:$P$34,M38:P38)+$B$17</f>
        <v>191.84996354873078</v>
      </c>
      <c r="R38">
        <f>SUMPRODUCT(M38:P38,M42:P42)</f>
        <v>5200</v>
      </c>
    </row>
    <row r="41" spans="1:18" x14ac:dyDescent="0.25">
      <c r="M41" t="s">
        <v>68</v>
      </c>
      <c r="N41" t="s">
        <v>76</v>
      </c>
      <c r="O41" t="s">
        <v>80</v>
      </c>
      <c r="P41" t="s">
        <v>82</v>
      </c>
    </row>
    <row r="42" spans="1:18" x14ac:dyDescent="0.25">
      <c r="M42">
        <f>S2</f>
        <v>5200</v>
      </c>
      <c r="N42">
        <f>S3</f>
        <v>4500</v>
      </c>
      <c r="O42">
        <f>S4</f>
        <v>2440</v>
      </c>
      <c r="P42">
        <f>S5</f>
        <v>2800</v>
      </c>
    </row>
  </sheetData>
  <sortState xmlns:xlrd2="http://schemas.microsoft.com/office/spreadsheetml/2017/richdata2" ref="P38:Q53">
    <sortCondition ref="Q38:Q5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3B968-C3B0-4763-B6AA-1D843360A77E}">
  <sheetPr codeName="Sheet2"/>
  <dimension ref="A1:Q1035"/>
  <sheetViews>
    <sheetView workbookViewId="0">
      <pane ySplit="1" topLeftCell="A2" activePane="bottomLeft" state="frozen"/>
      <selection pane="bottomLeft" activeCell="C37" sqref="C37"/>
    </sheetView>
  </sheetViews>
  <sheetFormatPr defaultRowHeight="15" x14ac:dyDescent="0.25"/>
  <cols>
    <col min="1" max="1" width="18.5703125" bestFit="1" customWidth="1"/>
    <col min="2" max="2" width="13.140625" bestFit="1" customWidth="1"/>
    <col min="3" max="3" width="14.42578125" bestFit="1" customWidth="1"/>
    <col min="4" max="4" width="34" bestFit="1" customWidth="1"/>
    <col min="5" max="5" width="17.5703125" bestFit="1" customWidth="1"/>
    <col min="6" max="6" width="30.42578125" bestFit="1" customWidth="1"/>
    <col min="7" max="7" width="33" bestFit="1" customWidth="1"/>
    <col min="8" max="8" width="42.28515625" bestFit="1" customWidth="1"/>
    <col min="9" max="9" width="34" bestFit="1" customWidth="1"/>
    <col min="10" max="10" width="42.28515625" bestFit="1" customWidth="1"/>
    <col min="11" max="11" width="10.28515625" bestFit="1" customWidth="1"/>
    <col min="12" max="12" width="17.42578125" bestFit="1" customWidth="1"/>
    <col min="13" max="13" width="16" bestFit="1" customWidth="1"/>
    <col min="14" max="14" width="16.28515625" bestFit="1" customWidth="1"/>
    <col min="15" max="15" width="19.5703125" bestFit="1" customWidth="1"/>
    <col min="16" max="16" width="15.85546875" bestFit="1" customWidth="1"/>
    <col min="17" max="17" width="25.42578125" bestFit="1" customWidth="1"/>
  </cols>
  <sheetData>
    <row r="1" spans="1:17" x14ac:dyDescent="0.25">
      <c r="A1" t="s">
        <v>0</v>
      </c>
      <c r="B1" t="s">
        <v>8</v>
      </c>
      <c r="C1" t="s">
        <v>9</v>
      </c>
      <c r="D1" t="s">
        <v>3</v>
      </c>
      <c r="E1" t="s">
        <v>4</v>
      </c>
      <c r="F1" t="s">
        <v>5</v>
      </c>
      <c r="G1" t="s">
        <v>10</v>
      </c>
      <c r="H1" t="s">
        <v>11</v>
      </c>
      <c r="I1" t="s">
        <v>12</v>
      </c>
      <c r="J1" t="s">
        <v>13</v>
      </c>
      <c r="K1" t="s">
        <v>61</v>
      </c>
      <c r="L1" t="s">
        <v>86</v>
      </c>
      <c r="M1" t="s">
        <v>58</v>
      </c>
      <c r="N1" t="s">
        <v>1</v>
      </c>
      <c r="O1" t="s">
        <v>2</v>
      </c>
      <c r="P1" t="s">
        <v>7</v>
      </c>
      <c r="Q1" t="s">
        <v>6</v>
      </c>
    </row>
    <row r="2" spans="1:17" x14ac:dyDescent="0.25">
      <c r="A2">
        <v>43</v>
      </c>
      <c r="B2">
        <v>10</v>
      </c>
      <c r="C2">
        <v>1</v>
      </c>
      <c r="D2">
        <v>0</v>
      </c>
      <c r="E2">
        <v>2</v>
      </c>
      <c r="F2">
        <v>4.0199999999999996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1</v>
      </c>
      <c r="N2">
        <v>0</v>
      </c>
      <c r="O2">
        <v>1</v>
      </c>
      <c r="P2">
        <v>1</v>
      </c>
      <c r="Q2">
        <v>84.633333329999999</v>
      </c>
    </row>
    <row r="3" spans="1:17" x14ac:dyDescent="0.25">
      <c r="A3">
        <v>48</v>
      </c>
      <c r="B3">
        <v>15</v>
      </c>
      <c r="C3">
        <v>2</v>
      </c>
      <c r="D3">
        <v>1</v>
      </c>
      <c r="E3">
        <v>2</v>
      </c>
      <c r="F3">
        <v>4.03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1</v>
      </c>
      <c r="O3">
        <v>1</v>
      </c>
      <c r="P3">
        <v>0</v>
      </c>
      <c r="Q3">
        <v>163.69999999999999</v>
      </c>
    </row>
    <row r="4" spans="1:17" x14ac:dyDescent="0.25">
      <c r="A4">
        <v>47</v>
      </c>
      <c r="B4">
        <v>25</v>
      </c>
      <c r="C4">
        <v>2</v>
      </c>
      <c r="D4">
        <v>3</v>
      </c>
      <c r="E4">
        <v>1</v>
      </c>
      <c r="F4">
        <v>4.05</v>
      </c>
      <c r="G4">
        <v>0</v>
      </c>
      <c r="H4">
        <v>1</v>
      </c>
      <c r="I4">
        <v>0</v>
      </c>
      <c r="J4">
        <v>0</v>
      </c>
      <c r="K4">
        <v>0</v>
      </c>
      <c r="L4">
        <v>1</v>
      </c>
      <c r="M4">
        <v>1</v>
      </c>
      <c r="N4">
        <v>1</v>
      </c>
      <c r="O4">
        <v>1</v>
      </c>
      <c r="P4">
        <v>1</v>
      </c>
      <c r="Q4">
        <v>164.93333329999999</v>
      </c>
    </row>
    <row r="5" spans="1:17" x14ac:dyDescent="0.25">
      <c r="A5">
        <v>76</v>
      </c>
      <c r="B5">
        <v>40</v>
      </c>
      <c r="C5">
        <v>2</v>
      </c>
      <c r="D5">
        <v>8</v>
      </c>
      <c r="E5">
        <v>2</v>
      </c>
      <c r="F5">
        <v>6.08</v>
      </c>
      <c r="G5">
        <v>0</v>
      </c>
      <c r="H5">
        <v>1</v>
      </c>
      <c r="I5">
        <v>0</v>
      </c>
      <c r="J5">
        <v>0</v>
      </c>
      <c r="K5">
        <v>0</v>
      </c>
      <c r="L5">
        <v>0</v>
      </c>
      <c r="M5">
        <v>1</v>
      </c>
      <c r="N5">
        <v>1</v>
      </c>
      <c r="O5">
        <v>1</v>
      </c>
      <c r="P5">
        <v>1</v>
      </c>
      <c r="Q5">
        <v>41.366666670000001</v>
      </c>
    </row>
    <row r="6" spans="1:17" x14ac:dyDescent="0.25">
      <c r="A6">
        <v>78</v>
      </c>
      <c r="B6">
        <v>31</v>
      </c>
      <c r="C6">
        <v>4</v>
      </c>
      <c r="D6">
        <v>0</v>
      </c>
      <c r="E6">
        <v>4</v>
      </c>
      <c r="F6">
        <v>4.0620000000000003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1</v>
      </c>
      <c r="N6">
        <v>0</v>
      </c>
      <c r="O6">
        <v>1</v>
      </c>
      <c r="P6">
        <v>1</v>
      </c>
      <c r="Q6">
        <v>7.8</v>
      </c>
    </row>
    <row r="7" spans="1:17" x14ac:dyDescent="0.25">
      <c r="A7">
        <v>56</v>
      </c>
      <c r="B7">
        <v>10</v>
      </c>
      <c r="C7">
        <v>2</v>
      </c>
      <c r="D7">
        <v>1</v>
      </c>
      <c r="E7">
        <v>4</v>
      </c>
      <c r="F7">
        <v>4.0199999999999996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1</v>
      </c>
      <c r="N7">
        <v>1</v>
      </c>
      <c r="O7">
        <v>1</v>
      </c>
      <c r="P7">
        <v>1</v>
      </c>
      <c r="Q7">
        <v>164.33333329999999</v>
      </c>
    </row>
    <row r="8" spans="1:17" x14ac:dyDescent="0.25">
      <c r="A8">
        <v>84</v>
      </c>
      <c r="B8">
        <v>28</v>
      </c>
      <c r="C8">
        <v>2</v>
      </c>
      <c r="D8">
        <v>0</v>
      </c>
      <c r="E8">
        <v>5</v>
      </c>
      <c r="F8">
        <v>3.056</v>
      </c>
      <c r="G8">
        <v>0</v>
      </c>
      <c r="H8">
        <v>0</v>
      </c>
      <c r="I8">
        <v>1</v>
      </c>
      <c r="J8">
        <v>0</v>
      </c>
      <c r="K8">
        <v>0</v>
      </c>
      <c r="L8">
        <v>0</v>
      </c>
      <c r="M8">
        <v>1</v>
      </c>
      <c r="N8">
        <v>0</v>
      </c>
      <c r="O8">
        <v>0</v>
      </c>
      <c r="P8">
        <v>0</v>
      </c>
      <c r="Q8">
        <v>36.266666669999999</v>
      </c>
    </row>
    <row r="9" spans="1:17" x14ac:dyDescent="0.25">
      <c r="A9">
        <v>85</v>
      </c>
      <c r="B9">
        <v>22</v>
      </c>
      <c r="C9">
        <v>4</v>
      </c>
      <c r="D9">
        <v>0</v>
      </c>
      <c r="E9">
        <v>1</v>
      </c>
      <c r="F9">
        <v>3.0439999999999898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>
        <v>1</v>
      </c>
      <c r="P9">
        <v>1</v>
      </c>
      <c r="Q9">
        <v>132.03333329999899</v>
      </c>
    </row>
    <row r="10" spans="1:17" x14ac:dyDescent="0.25">
      <c r="A10">
        <v>70</v>
      </c>
      <c r="B10">
        <v>21</v>
      </c>
      <c r="C10">
        <v>1</v>
      </c>
      <c r="D10">
        <v>0</v>
      </c>
      <c r="E10">
        <v>3</v>
      </c>
      <c r="F10">
        <v>2.0419999999999998</v>
      </c>
      <c r="G10">
        <v>1</v>
      </c>
      <c r="H10">
        <v>0</v>
      </c>
      <c r="I10">
        <v>0</v>
      </c>
      <c r="J10">
        <v>0</v>
      </c>
      <c r="K10">
        <v>0</v>
      </c>
      <c r="L10">
        <v>1</v>
      </c>
      <c r="M10">
        <v>1</v>
      </c>
      <c r="N10">
        <v>0</v>
      </c>
      <c r="O10">
        <v>1</v>
      </c>
      <c r="P10">
        <v>1</v>
      </c>
      <c r="Q10">
        <v>163.53333330000001</v>
      </c>
    </row>
    <row r="11" spans="1:17" x14ac:dyDescent="0.25">
      <c r="A11">
        <v>66</v>
      </c>
      <c r="B11">
        <v>36</v>
      </c>
      <c r="C11">
        <v>2</v>
      </c>
      <c r="D11">
        <v>0</v>
      </c>
      <c r="E11">
        <v>3</v>
      </c>
      <c r="F11">
        <v>4.0720000000000001</v>
      </c>
      <c r="G11">
        <v>1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0</v>
      </c>
      <c r="O11">
        <v>1</v>
      </c>
      <c r="P11">
        <v>1</v>
      </c>
      <c r="Q11">
        <v>160.30000000000001</v>
      </c>
    </row>
    <row r="12" spans="1:17" x14ac:dyDescent="0.25">
      <c r="A12">
        <v>62</v>
      </c>
      <c r="B12">
        <v>29</v>
      </c>
      <c r="C12">
        <v>1</v>
      </c>
      <c r="D12">
        <v>0</v>
      </c>
      <c r="E12">
        <v>4</v>
      </c>
      <c r="F12">
        <v>3.0579999999999998</v>
      </c>
      <c r="G12">
        <v>0</v>
      </c>
      <c r="H12">
        <v>1</v>
      </c>
      <c r="I12">
        <v>0</v>
      </c>
      <c r="J12">
        <v>0</v>
      </c>
      <c r="K12">
        <v>0</v>
      </c>
      <c r="L12">
        <v>1</v>
      </c>
      <c r="M12">
        <v>1</v>
      </c>
      <c r="N12">
        <v>0</v>
      </c>
      <c r="O12">
        <v>1</v>
      </c>
      <c r="P12">
        <v>0</v>
      </c>
      <c r="Q12">
        <v>62.866666670000001</v>
      </c>
    </row>
    <row r="13" spans="1:17" x14ac:dyDescent="0.25">
      <c r="A13">
        <v>45</v>
      </c>
      <c r="B13">
        <v>23</v>
      </c>
      <c r="C13">
        <v>2</v>
      </c>
      <c r="D13">
        <v>0</v>
      </c>
      <c r="E13">
        <v>5</v>
      </c>
      <c r="F13">
        <v>4.0460000000000003</v>
      </c>
      <c r="G13">
        <v>1</v>
      </c>
      <c r="H13">
        <v>0</v>
      </c>
      <c r="I13">
        <v>0</v>
      </c>
      <c r="J13">
        <v>0</v>
      </c>
      <c r="K13">
        <v>0</v>
      </c>
      <c r="L13">
        <v>1</v>
      </c>
      <c r="M13">
        <v>1</v>
      </c>
      <c r="N13">
        <v>1</v>
      </c>
      <c r="O13">
        <v>1</v>
      </c>
      <c r="P13">
        <v>1</v>
      </c>
      <c r="Q13">
        <v>140.8666667</v>
      </c>
    </row>
    <row r="14" spans="1:17" x14ac:dyDescent="0.25">
      <c r="A14">
        <v>52</v>
      </c>
      <c r="B14">
        <v>17</v>
      </c>
      <c r="C14">
        <v>1</v>
      </c>
      <c r="D14">
        <v>0</v>
      </c>
      <c r="E14">
        <v>3</v>
      </c>
      <c r="F14">
        <v>4.0339999999999998</v>
      </c>
      <c r="G14">
        <v>1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0</v>
      </c>
      <c r="P14">
        <v>1</v>
      </c>
      <c r="Q14">
        <v>153.96666669999999</v>
      </c>
    </row>
    <row r="15" spans="1:17" x14ac:dyDescent="0.25">
      <c r="A15">
        <v>61</v>
      </c>
      <c r="B15">
        <v>16</v>
      </c>
      <c r="C15">
        <v>2</v>
      </c>
      <c r="D15">
        <v>1</v>
      </c>
      <c r="E15">
        <v>3</v>
      </c>
      <c r="F15">
        <v>4.032</v>
      </c>
      <c r="G15">
        <v>1</v>
      </c>
      <c r="H15">
        <v>0</v>
      </c>
      <c r="I15">
        <v>0</v>
      </c>
      <c r="J15">
        <v>0</v>
      </c>
      <c r="K15">
        <v>0</v>
      </c>
      <c r="L15">
        <v>1</v>
      </c>
      <c r="M15">
        <v>1</v>
      </c>
      <c r="N15">
        <v>0</v>
      </c>
      <c r="O15">
        <v>1</v>
      </c>
      <c r="P15">
        <v>1</v>
      </c>
      <c r="Q15">
        <v>157.43333329999999</v>
      </c>
    </row>
    <row r="16" spans="1:17" x14ac:dyDescent="0.25">
      <c r="A16">
        <v>51</v>
      </c>
      <c r="B16">
        <v>12</v>
      </c>
      <c r="C16">
        <v>2</v>
      </c>
      <c r="D16">
        <v>1</v>
      </c>
      <c r="E16">
        <v>2</v>
      </c>
      <c r="F16">
        <v>3.0239999999999898</v>
      </c>
      <c r="G16">
        <v>1</v>
      </c>
      <c r="H16">
        <v>0</v>
      </c>
      <c r="I16">
        <v>0</v>
      </c>
      <c r="J16">
        <v>0</v>
      </c>
      <c r="K16">
        <v>0</v>
      </c>
      <c r="L16">
        <v>1</v>
      </c>
      <c r="M16">
        <v>1</v>
      </c>
      <c r="N16">
        <v>0</v>
      </c>
      <c r="O16">
        <v>1</v>
      </c>
      <c r="P16">
        <v>1</v>
      </c>
      <c r="Q16">
        <v>103.1333333</v>
      </c>
    </row>
    <row r="17" spans="1:17" x14ac:dyDescent="0.25">
      <c r="A17">
        <v>50</v>
      </c>
      <c r="B17">
        <v>40</v>
      </c>
      <c r="C17">
        <v>2</v>
      </c>
      <c r="D17">
        <v>4</v>
      </c>
      <c r="E17">
        <v>4</v>
      </c>
      <c r="F17">
        <v>6.08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0</v>
      </c>
      <c r="P17">
        <v>1</v>
      </c>
      <c r="Q17">
        <v>28.5</v>
      </c>
    </row>
    <row r="18" spans="1:17" x14ac:dyDescent="0.25">
      <c r="A18">
        <v>49</v>
      </c>
      <c r="B18">
        <v>24</v>
      </c>
      <c r="C18">
        <v>2</v>
      </c>
      <c r="D18">
        <v>0</v>
      </c>
      <c r="E18">
        <v>4</v>
      </c>
      <c r="F18">
        <v>3.048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1</v>
      </c>
      <c r="N18">
        <v>0</v>
      </c>
      <c r="O18">
        <v>1</v>
      </c>
      <c r="P18">
        <v>1</v>
      </c>
      <c r="Q18">
        <v>69.5</v>
      </c>
    </row>
    <row r="19" spans="1:17" x14ac:dyDescent="0.25">
      <c r="A19">
        <v>64</v>
      </c>
      <c r="B19">
        <v>13</v>
      </c>
      <c r="C19">
        <v>1</v>
      </c>
      <c r="D19">
        <v>0</v>
      </c>
      <c r="E19">
        <v>2</v>
      </c>
      <c r="F19">
        <v>3.0259999999999998</v>
      </c>
      <c r="G19">
        <v>0</v>
      </c>
      <c r="H19">
        <v>0</v>
      </c>
      <c r="I19">
        <v>1</v>
      </c>
      <c r="J19">
        <v>0</v>
      </c>
      <c r="K19">
        <v>0</v>
      </c>
      <c r="L19">
        <v>0</v>
      </c>
      <c r="M19">
        <v>1</v>
      </c>
      <c r="N19">
        <v>0</v>
      </c>
      <c r="O19">
        <v>1</v>
      </c>
      <c r="P19">
        <v>1</v>
      </c>
      <c r="Q19">
        <v>86.066666670000004</v>
      </c>
    </row>
    <row r="20" spans="1:17" x14ac:dyDescent="0.25">
      <c r="A20">
        <v>43</v>
      </c>
      <c r="B20">
        <v>14</v>
      </c>
      <c r="C20">
        <v>2</v>
      </c>
      <c r="D20">
        <v>1</v>
      </c>
      <c r="E20">
        <v>4</v>
      </c>
      <c r="F20">
        <v>5.0279999999999996</v>
      </c>
      <c r="G20">
        <v>0</v>
      </c>
      <c r="H20">
        <v>1</v>
      </c>
      <c r="I20">
        <v>0</v>
      </c>
      <c r="J20">
        <v>0</v>
      </c>
      <c r="K20">
        <v>0</v>
      </c>
      <c r="L20">
        <v>1</v>
      </c>
      <c r="M20">
        <v>1</v>
      </c>
      <c r="N20">
        <v>0</v>
      </c>
      <c r="O20">
        <v>1</v>
      </c>
      <c r="P20">
        <v>1</v>
      </c>
      <c r="Q20">
        <v>153.19999999999999</v>
      </c>
    </row>
    <row r="21" spans="1:17" x14ac:dyDescent="0.25">
      <c r="A21">
        <v>78</v>
      </c>
      <c r="B21">
        <v>30</v>
      </c>
      <c r="C21">
        <v>2</v>
      </c>
      <c r="D21">
        <v>3</v>
      </c>
      <c r="E21">
        <v>2</v>
      </c>
      <c r="F21">
        <v>5.0599999999999996</v>
      </c>
      <c r="G21">
        <v>1</v>
      </c>
      <c r="H21">
        <v>0</v>
      </c>
      <c r="I21">
        <v>0</v>
      </c>
      <c r="J21">
        <v>0</v>
      </c>
      <c r="K21">
        <v>0</v>
      </c>
      <c r="L21">
        <v>1</v>
      </c>
      <c r="M21">
        <v>1</v>
      </c>
      <c r="N21">
        <v>0</v>
      </c>
      <c r="O21">
        <v>1</v>
      </c>
      <c r="P21">
        <v>1</v>
      </c>
      <c r="Q21">
        <v>98.7</v>
      </c>
    </row>
    <row r="22" spans="1:17" x14ac:dyDescent="0.25">
      <c r="A22">
        <v>68</v>
      </c>
      <c r="B22">
        <v>39</v>
      </c>
      <c r="C22">
        <v>2</v>
      </c>
      <c r="D22">
        <v>0</v>
      </c>
      <c r="E22">
        <v>1</v>
      </c>
      <c r="F22">
        <v>4.0780000000000003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1</v>
      </c>
      <c r="O22">
        <v>0</v>
      </c>
      <c r="P22">
        <v>1</v>
      </c>
      <c r="Q22">
        <v>8.0666666669999998</v>
      </c>
    </row>
    <row r="23" spans="1:17" x14ac:dyDescent="0.25">
      <c r="A23">
        <v>46</v>
      </c>
      <c r="B23">
        <v>34</v>
      </c>
      <c r="C23">
        <v>2</v>
      </c>
      <c r="D23">
        <v>0</v>
      </c>
      <c r="E23">
        <v>3</v>
      </c>
      <c r="F23">
        <v>3.0680000000000001</v>
      </c>
      <c r="G23">
        <v>0</v>
      </c>
      <c r="H23">
        <v>0</v>
      </c>
      <c r="I23">
        <v>1</v>
      </c>
      <c r="J23">
        <v>0</v>
      </c>
      <c r="K23">
        <v>0</v>
      </c>
      <c r="L23">
        <v>1</v>
      </c>
      <c r="M23">
        <v>1</v>
      </c>
      <c r="N23">
        <v>0</v>
      </c>
      <c r="O23">
        <v>1</v>
      </c>
      <c r="P23">
        <v>1</v>
      </c>
      <c r="Q23">
        <v>148.03333330000001</v>
      </c>
    </row>
    <row r="24" spans="1:17" x14ac:dyDescent="0.25">
      <c r="A24">
        <v>51</v>
      </c>
      <c r="B24">
        <v>40</v>
      </c>
      <c r="C24">
        <v>2</v>
      </c>
      <c r="D24">
        <v>16</v>
      </c>
      <c r="E24">
        <v>4</v>
      </c>
      <c r="F24">
        <v>5.08</v>
      </c>
      <c r="G24">
        <v>0</v>
      </c>
      <c r="H24">
        <v>0</v>
      </c>
      <c r="I24">
        <v>1</v>
      </c>
      <c r="J24">
        <v>0</v>
      </c>
      <c r="K24">
        <v>0</v>
      </c>
      <c r="L24">
        <v>0</v>
      </c>
      <c r="M24">
        <v>1</v>
      </c>
      <c r="N24">
        <v>1</v>
      </c>
      <c r="O24">
        <v>1</v>
      </c>
      <c r="P24">
        <v>1</v>
      </c>
      <c r="Q24">
        <v>140.7666667</v>
      </c>
    </row>
    <row r="25" spans="1:17" x14ac:dyDescent="0.25">
      <c r="A25">
        <v>49</v>
      </c>
      <c r="B25">
        <v>70</v>
      </c>
      <c r="C25">
        <v>3</v>
      </c>
      <c r="D25">
        <v>5</v>
      </c>
      <c r="E25">
        <v>4</v>
      </c>
      <c r="F25">
        <v>4.1399999999999997</v>
      </c>
      <c r="G25">
        <v>1</v>
      </c>
      <c r="H25">
        <v>0</v>
      </c>
      <c r="I25">
        <v>0</v>
      </c>
      <c r="J25">
        <v>0</v>
      </c>
      <c r="K25">
        <v>0</v>
      </c>
      <c r="L25">
        <v>1</v>
      </c>
      <c r="M25">
        <v>1</v>
      </c>
      <c r="N25">
        <v>1</v>
      </c>
      <c r="O25">
        <v>1</v>
      </c>
      <c r="P25">
        <v>1</v>
      </c>
      <c r="Q25">
        <v>85.333333330000002</v>
      </c>
    </row>
    <row r="26" spans="1:17" x14ac:dyDescent="0.25">
      <c r="A26">
        <v>65</v>
      </c>
      <c r="B26">
        <v>18</v>
      </c>
      <c r="C26">
        <v>2</v>
      </c>
      <c r="D26">
        <v>0</v>
      </c>
      <c r="E26">
        <v>4</v>
      </c>
      <c r="F26">
        <v>4.0359999999999996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1</v>
      </c>
      <c r="N26">
        <v>0</v>
      </c>
      <c r="O26">
        <v>1</v>
      </c>
      <c r="P26">
        <v>0</v>
      </c>
      <c r="Q26">
        <v>158.03333330000001</v>
      </c>
    </row>
    <row r="27" spans="1:17" x14ac:dyDescent="0.25">
      <c r="A27">
        <v>43</v>
      </c>
      <c r="B27">
        <v>18</v>
      </c>
      <c r="C27">
        <v>1</v>
      </c>
      <c r="D27">
        <v>0</v>
      </c>
      <c r="E27">
        <v>2</v>
      </c>
      <c r="F27">
        <v>4.0359999999999996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1</v>
      </c>
      <c r="N27">
        <v>1</v>
      </c>
      <c r="O27">
        <v>1</v>
      </c>
      <c r="P27">
        <v>1</v>
      </c>
      <c r="Q27">
        <v>42.7</v>
      </c>
    </row>
    <row r="28" spans="1:17" x14ac:dyDescent="0.25">
      <c r="A28">
        <v>54</v>
      </c>
      <c r="B28">
        <v>27</v>
      </c>
      <c r="C28">
        <v>2</v>
      </c>
      <c r="D28">
        <v>0</v>
      </c>
      <c r="E28">
        <v>4</v>
      </c>
      <c r="F28">
        <v>2.0539999999999998</v>
      </c>
      <c r="G28">
        <v>1</v>
      </c>
      <c r="H28">
        <v>0</v>
      </c>
      <c r="I28">
        <v>0</v>
      </c>
      <c r="J28">
        <v>0</v>
      </c>
      <c r="K28">
        <v>0</v>
      </c>
      <c r="L28">
        <v>1</v>
      </c>
      <c r="M28">
        <v>1</v>
      </c>
      <c r="N28">
        <v>0</v>
      </c>
      <c r="O28">
        <v>1</v>
      </c>
      <c r="P28">
        <v>0</v>
      </c>
      <c r="Q28">
        <v>127.1</v>
      </c>
    </row>
    <row r="29" spans="1:17" x14ac:dyDescent="0.25">
      <c r="A29">
        <v>83</v>
      </c>
      <c r="B29">
        <v>150</v>
      </c>
      <c r="C29">
        <v>3</v>
      </c>
      <c r="D29">
        <v>14</v>
      </c>
      <c r="E29">
        <v>8</v>
      </c>
      <c r="F29">
        <v>6.3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>
        <v>1</v>
      </c>
      <c r="N29">
        <v>0</v>
      </c>
      <c r="O29">
        <v>1</v>
      </c>
      <c r="P29">
        <v>1</v>
      </c>
      <c r="Q29">
        <v>39.166666669999998</v>
      </c>
    </row>
    <row r="30" spans="1:17" x14ac:dyDescent="0.25">
      <c r="A30">
        <v>48</v>
      </c>
      <c r="B30">
        <v>30</v>
      </c>
      <c r="C30">
        <v>2</v>
      </c>
      <c r="D30">
        <v>0</v>
      </c>
      <c r="E30">
        <v>3</v>
      </c>
      <c r="F30">
        <v>3.06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1</v>
      </c>
      <c r="N30">
        <v>0</v>
      </c>
      <c r="O30">
        <v>1</v>
      </c>
      <c r="P30">
        <v>0</v>
      </c>
      <c r="Q30">
        <v>13.4</v>
      </c>
    </row>
    <row r="31" spans="1:17" x14ac:dyDescent="0.25">
      <c r="A31">
        <v>39</v>
      </c>
      <c r="B31">
        <v>25</v>
      </c>
      <c r="C31">
        <v>2</v>
      </c>
      <c r="D31">
        <v>0</v>
      </c>
      <c r="E31">
        <v>5</v>
      </c>
      <c r="F31">
        <v>4.05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</v>
      </c>
      <c r="O31">
        <v>0</v>
      </c>
      <c r="P31">
        <v>1</v>
      </c>
      <c r="Q31">
        <v>66.733333329999994</v>
      </c>
    </row>
    <row r="32" spans="1:17" x14ac:dyDescent="0.25">
      <c r="A32">
        <v>42</v>
      </c>
      <c r="B32">
        <v>60</v>
      </c>
      <c r="C32">
        <v>3</v>
      </c>
      <c r="D32">
        <v>1</v>
      </c>
      <c r="E32">
        <v>2</v>
      </c>
      <c r="F32">
        <v>4.12</v>
      </c>
      <c r="G32">
        <v>0</v>
      </c>
      <c r="H32">
        <v>0</v>
      </c>
      <c r="I32">
        <v>1</v>
      </c>
      <c r="J32">
        <v>0</v>
      </c>
      <c r="K32">
        <v>0</v>
      </c>
      <c r="L32">
        <v>1</v>
      </c>
      <c r="M32">
        <v>1</v>
      </c>
      <c r="N32">
        <v>1</v>
      </c>
      <c r="O32">
        <v>1</v>
      </c>
      <c r="P32">
        <v>1</v>
      </c>
      <c r="Q32">
        <v>122.2666667</v>
      </c>
    </row>
    <row r="33" spans="1:17" x14ac:dyDescent="0.25">
      <c r="A33">
        <v>60</v>
      </c>
      <c r="B33">
        <v>23</v>
      </c>
      <c r="C33">
        <v>2</v>
      </c>
      <c r="D33">
        <v>1</v>
      </c>
      <c r="E33">
        <v>2</v>
      </c>
      <c r="F33">
        <v>4.0460000000000003</v>
      </c>
      <c r="G33">
        <v>0</v>
      </c>
      <c r="H33">
        <v>1</v>
      </c>
      <c r="I33">
        <v>0</v>
      </c>
      <c r="J33">
        <v>0</v>
      </c>
      <c r="K33">
        <v>0</v>
      </c>
      <c r="L33">
        <v>1</v>
      </c>
      <c r="M33">
        <v>1</v>
      </c>
      <c r="N33">
        <v>0</v>
      </c>
      <c r="O33">
        <v>1</v>
      </c>
      <c r="P33">
        <v>1</v>
      </c>
      <c r="Q33">
        <v>2.4</v>
      </c>
    </row>
    <row r="34" spans="1:17" x14ac:dyDescent="0.25">
      <c r="A34">
        <v>82</v>
      </c>
      <c r="B34">
        <v>23</v>
      </c>
      <c r="C34">
        <v>2</v>
      </c>
      <c r="D34">
        <v>1</v>
      </c>
      <c r="E34">
        <v>2</v>
      </c>
      <c r="F34">
        <v>4.0460000000000003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0</v>
      </c>
      <c r="O34">
        <v>1</v>
      </c>
      <c r="P34">
        <v>1</v>
      </c>
      <c r="Q34">
        <v>95.866666670000001</v>
      </c>
    </row>
    <row r="35" spans="1:17" x14ac:dyDescent="0.25">
      <c r="A35">
        <v>72</v>
      </c>
      <c r="B35">
        <v>26</v>
      </c>
      <c r="C35">
        <v>2</v>
      </c>
      <c r="D35">
        <v>1</v>
      </c>
      <c r="E35">
        <v>3</v>
      </c>
      <c r="F35">
        <v>5.0519999999999996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>
        <v>1</v>
      </c>
      <c r="N35">
        <v>0</v>
      </c>
      <c r="O35">
        <v>1</v>
      </c>
      <c r="P35">
        <v>1</v>
      </c>
      <c r="Q35">
        <v>29.06666667</v>
      </c>
    </row>
    <row r="36" spans="1:17" x14ac:dyDescent="0.25">
      <c r="A36">
        <v>78</v>
      </c>
      <c r="B36">
        <v>30</v>
      </c>
      <c r="C36">
        <v>2</v>
      </c>
      <c r="D36">
        <v>6</v>
      </c>
      <c r="E36">
        <v>4</v>
      </c>
      <c r="F36">
        <v>5.0599999999999996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1</v>
      </c>
      <c r="N36">
        <v>0</v>
      </c>
      <c r="O36">
        <v>1</v>
      </c>
      <c r="P36">
        <v>1</v>
      </c>
      <c r="Q36">
        <v>152.19999999999999</v>
      </c>
    </row>
    <row r="37" spans="1:17" x14ac:dyDescent="0.25">
      <c r="A37">
        <v>58</v>
      </c>
      <c r="B37">
        <v>20</v>
      </c>
      <c r="C37">
        <v>2</v>
      </c>
      <c r="D37">
        <v>1</v>
      </c>
      <c r="E37">
        <v>5</v>
      </c>
      <c r="F37">
        <v>3.04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1</v>
      </c>
      <c r="N37">
        <v>0</v>
      </c>
      <c r="O37">
        <v>1</v>
      </c>
      <c r="P37">
        <v>1</v>
      </c>
      <c r="Q37">
        <v>138.9</v>
      </c>
    </row>
    <row r="38" spans="1:17" x14ac:dyDescent="0.25">
      <c r="A38">
        <v>43</v>
      </c>
      <c r="B38">
        <v>50</v>
      </c>
      <c r="C38">
        <v>3</v>
      </c>
      <c r="D38">
        <v>2</v>
      </c>
      <c r="E38">
        <v>1</v>
      </c>
      <c r="F38">
        <v>4.0999999999999996</v>
      </c>
      <c r="G38">
        <v>0</v>
      </c>
      <c r="H38">
        <v>1</v>
      </c>
      <c r="I38">
        <v>0</v>
      </c>
      <c r="J38">
        <v>0</v>
      </c>
      <c r="K38">
        <v>0</v>
      </c>
      <c r="L38">
        <v>1</v>
      </c>
      <c r="M38">
        <v>1</v>
      </c>
      <c r="N38">
        <v>1</v>
      </c>
      <c r="O38">
        <v>1</v>
      </c>
      <c r="P38">
        <v>1</v>
      </c>
      <c r="Q38">
        <v>118.2</v>
      </c>
    </row>
    <row r="39" spans="1:17" x14ac:dyDescent="0.25">
      <c r="A39">
        <v>73</v>
      </c>
      <c r="B39">
        <v>9</v>
      </c>
      <c r="C39">
        <v>2</v>
      </c>
      <c r="D39">
        <v>0</v>
      </c>
      <c r="E39">
        <v>3</v>
      </c>
      <c r="F39">
        <v>2.0179999999999998</v>
      </c>
      <c r="G39">
        <v>0</v>
      </c>
      <c r="H39">
        <v>1</v>
      </c>
      <c r="I39">
        <v>0</v>
      </c>
      <c r="J39">
        <v>0</v>
      </c>
      <c r="K39">
        <v>0</v>
      </c>
      <c r="L39">
        <v>1</v>
      </c>
      <c r="M39">
        <v>1</v>
      </c>
      <c r="N39">
        <v>0</v>
      </c>
      <c r="O39">
        <v>1</v>
      </c>
      <c r="P39">
        <v>0</v>
      </c>
      <c r="Q39">
        <v>1.266666667</v>
      </c>
    </row>
    <row r="40" spans="1:17" x14ac:dyDescent="0.25">
      <c r="A40">
        <v>52</v>
      </c>
      <c r="B40">
        <v>13</v>
      </c>
      <c r="C40">
        <v>2</v>
      </c>
      <c r="D40">
        <v>1</v>
      </c>
      <c r="E40">
        <v>5</v>
      </c>
      <c r="F40">
        <v>4.0259999999999998</v>
      </c>
      <c r="G40">
        <v>1</v>
      </c>
      <c r="H40">
        <v>0</v>
      </c>
      <c r="I40">
        <v>0</v>
      </c>
      <c r="J40">
        <v>0</v>
      </c>
      <c r="K40">
        <v>0</v>
      </c>
      <c r="L40">
        <v>1</v>
      </c>
      <c r="M40">
        <v>1</v>
      </c>
      <c r="N40">
        <v>1</v>
      </c>
      <c r="O40">
        <v>1</v>
      </c>
      <c r="P40">
        <v>1</v>
      </c>
      <c r="Q40">
        <v>132.06666670000001</v>
      </c>
    </row>
    <row r="41" spans="1:17" x14ac:dyDescent="0.25">
      <c r="A41">
        <v>57</v>
      </c>
      <c r="B41">
        <v>14</v>
      </c>
      <c r="C41">
        <v>1</v>
      </c>
      <c r="D41">
        <v>0</v>
      </c>
      <c r="E41">
        <v>4</v>
      </c>
      <c r="F41">
        <v>3.028</v>
      </c>
      <c r="G41">
        <v>1</v>
      </c>
      <c r="H41">
        <v>0</v>
      </c>
      <c r="I41">
        <v>0</v>
      </c>
      <c r="J41">
        <v>0</v>
      </c>
      <c r="K41">
        <v>0</v>
      </c>
      <c r="L41">
        <v>1</v>
      </c>
      <c r="M41">
        <v>1</v>
      </c>
      <c r="N41">
        <v>0</v>
      </c>
      <c r="O41">
        <v>1</v>
      </c>
      <c r="P41">
        <v>1</v>
      </c>
      <c r="Q41">
        <v>137.80000000000001</v>
      </c>
    </row>
    <row r="42" spans="1:17" x14ac:dyDescent="0.25">
      <c r="A42">
        <v>69</v>
      </c>
      <c r="B42">
        <v>39</v>
      </c>
      <c r="C42">
        <v>2</v>
      </c>
      <c r="D42">
        <v>0</v>
      </c>
      <c r="E42">
        <v>5</v>
      </c>
      <c r="F42">
        <v>4.0780000000000003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1</v>
      </c>
      <c r="O42">
        <v>1</v>
      </c>
      <c r="P42">
        <v>1</v>
      </c>
      <c r="Q42">
        <v>66.633333329999999</v>
      </c>
    </row>
    <row r="43" spans="1:17" x14ac:dyDescent="0.25">
      <c r="A43">
        <v>58</v>
      </c>
      <c r="B43">
        <v>80</v>
      </c>
      <c r="C43">
        <v>2</v>
      </c>
      <c r="D43">
        <v>1</v>
      </c>
      <c r="E43">
        <v>3</v>
      </c>
      <c r="F43">
        <v>3.16</v>
      </c>
      <c r="G43">
        <v>0</v>
      </c>
      <c r="H43">
        <v>1</v>
      </c>
      <c r="I43">
        <v>0</v>
      </c>
      <c r="J43">
        <v>0</v>
      </c>
      <c r="K43">
        <v>0</v>
      </c>
      <c r="L43">
        <v>1</v>
      </c>
      <c r="M43">
        <v>1</v>
      </c>
      <c r="N43">
        <v>1</v>
      </c>
      <c r="O43">
        <v>1</v>
      </c>
      <c r="P43">
        <v>1</v>
      </c>
      <c r="Q43">
        <v>151</v>
      </c>
    </row>
    <row r="44" spans="1:17" x14ac:dyDescent="0.25">
      <c r="A44">
        <v>73</v>
      </c>
      <c r="B44">
        <v>22</v>
      </c>
      <c r="C44">
        <v>2</v>
      </c>
      <c r="D44">
        <v>3</v>
      </c>
      <c r="E44">
        <v>1</v>
      </c>
      <c r="F44">
        <v>5.0439999999999996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1</v>
      </c>
      <c r="N44">
        <v>0</v>
      </c>
      <c r="O44">
        <v>1</v>
      </c>
      <c r="P44">
        <v>1</v>
      </c>
      <c r="Q44">
        <v>12.93333333</v>
      </c>
    </row>
    <row r="45" spans="1:17" x14ac:dyDescent="0.25">
      <c r="A45">
        <v>72</v>
      </c>
      <c r="B45">
        <v>13</v>
      </c>
      <c r="C45">
        <v>1</v>
      </c>
      <c r="D45">
        <v>0</v>
      </c>
      <c r="E45">
        <v>2</v>
      </c>
      <c r="F45">
        <v>3.0259999999999998</v>
      </c>
      <c r="G45">
        <v>1</v>
      </c>
      <c r="H45">
        <v>0</v>
      </c>
      <c r="I45">
        <v>0</v>
      </c>
      <c r="J45">
        <v>0</v>
      </c>
      <c r="K45">
        <v>0</v>
      </c>
      <c r="L45">
        <v>1</v>
      </c>
      <c r="M45">
        <v>1</v>
      </c>
      <c r="N45">
        <v>0</v>
      </c>
      <c r="O45">
        <v>1</v>
      </c>
      <c r="P45">
        <v>0</v>
      </c>
      <c r="Q45">
        <v>88.2</v>
      </c>
    </row>
    <row r="46" spans="1:17" x14ac:dyDescent="0.25">
      <c r="A46">
        <v>51</v>
      </c>
      <c r="B46">
        <v>18</v>
      </c>
      <c r="C46">
        <v>1</v>
      </c>
      <c r="D46">
        <v>0</v>
      </c>
      <c r="E46">
        <v>2</v>
      </c>
      <c r="F46">
        <v>3.036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1</v>
      </c>
      <c r="N46">
        <v>0</v>
      </c>
      <c r="O46">
        <v>1</v>
      </c>
      <c r="P46">
        <v>0</v>
      </c>
      <c r="Q46">
        <v>150.56666669999899</v>
      </c>
    </row>
    <row r="47" spans="1:17" x14ac:dyDescent="0.25">
      <c r="A47">
        <v>47</v>
      </c>
      <c r="B47">
        <v>30</v>
      </c>
      <c r="C47">
        <v>2</v>
      </c>
      <c r="D47">
        <v>1</v>
      </c>
      <c r="E47">
        <v>1</v>
      </c>
      <c r="F47">
        <v>4.0599999999999996</v>
      </c>
      <c r="G47">
        <v>0</v>
      </c>
      <c r="H47">
        <v>0</v>
      </c>
      <c r="I47">
        <v>1</v>
      </c>
      <c r="J47">
        <v>0</v>
      </c>
      <c r="K47">
        <v>0</v>
      </c>
      <c r="L47">
        <v>1</v>
      </c>
      <c r="M47">
        <v>1</v>
      </c>
      <c r="N47">
        <v>0</v>
      </c>
      <c r="O47">
        <v>1</v>
      </c>
      <c r="P47">
        <v>1</v>
      </c>
      <c r="Q47">
        <v>109.2</v>
      </c>
    </row>
    <row r="48" spans="1:17" x14ac:dyDescent="0.25">
      <c r="A48">
        <v>74</v>
      </c>
      <c r="B48">
        <v>27</v>
      </c>
      <c r="C48">
        <v>2</v>
      </c>
      <c r="D48">
        <v>1</v>
      </c>
      <c r="E48">
        <v>1</v>
      </c>
      <c r="F48">
        <v>4.0539999999999896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  <c r="N48">
        <v>0</v>
      </c>
      <c r="O48">
        <v>1</v>
      </c>
      <c r="P48">
        <v>1</v>
      </c>
      <c r="Q48">
        <v>147.93333329999999</v>
      </c>
    </row>
    <row r="49" spans="1:17" x14ac:dyDescent="0.25">
      <c r="A49">
        <v>62</v>
      </c>
      <c r="B49">
        <v>20</v>
      </c>
      <c r="C49">
        <v>1</v>
      </c>
      <c r="D49">
        <v>0</v>
      </c>
      <c r="E49">
        <v>2</v>
      </c>
      <c r="F49">
        <v>3.04</v>
      </c>
      <c r="G49">
        <v>0</v>
      </c>
      <c r="H49">
        <v>0</v>
      </c>
      <c r="I49">
        <v>1</v>
      </c>
      <c r="J49">
        <v>0</v>
      </c>
      <c r="K49">
        <v>0</v>
      </c>
      <c r="L49">
        <v>1</v>
      </c>
      <c r="M49">
        <v>1</v>
      </c>
      <c r="N49">
        <v>0</v>
      </c>
      <c r="O49">
        <v>1</v>
      </c>
      <c r="P49">
        <v>1</v>
      </c>
      <c r="Q49">
        <v>147.66666669999901</v>
      </c>
    </row>
    <row r="50" spans="1:17" x14ac:dyDescent="0.25">
      <c r="A50">
        <v>79</v>
      </c>
      <c r="B50">
        <v>38</v>
      </c>
      <c r="C50">
        <v>2</v>
      </c>
      <c r="D50">
        <v>9</v>
      </c>
      <c r="E50">
        <v>2</v>
      </c>
      <c r="F50">
        <v>5.0759999999999996</v>
      </c>
      <c r="G50">
        <v>0</v>
      </c>
      <c r="H50">
        <v>0</v>
      </c>
      <c r="I50">
        <v>1</v>
      </c>
      <c r="J50">
        <v>0</v>
      </c>
      <c r="K50">
        <v>0</v>
      </c>
      <c r="L50">
        <v>0</v>
      </c>
      <c r="M50">
        <v>1</v>
      </c>
      <c r="N50">
        <v>0</v>
      </c>
      <c r="O50">
        <v>1</v>
      </c>
      <c r="P50">
        <v>1</v>
      </c>
      <c r="Q50">
        <v>51.766666669999999</v>
      </c>
    </row>
    <row r="51" spans="1:17" x14ac:dyDescent="0.25">
      <c r="A51">
        <v>53</v>
      </c>
      <c r="B51">
        <v>19</v>
      </c>
      <c r="C51">
        <v>1</v>
      </c>
      <c r="D51">
        <v>0</v>
      </c>
      <c r="E51">
        <v>3</v>
      </c>
      <c r="F51">
        <v>4.0380000000000003</v>
      </c>
      <c r="G51">
        <v>1</v>
      </c>
      <c r="H51">
        <v>0</v>
      </c>
      <c r="I51">
        <v>0</v>
      </c>
      <c r="J51">
        <v>0</v>
      </c>
      <c r="K51">
        <v>0</v>
      </c>
      <c r="L51">
        <v>1</v>
      </c>
      <c r="M51">
        <v>1</v>
      </c>
      <c r="N51">
        <v>0</v>
      </c>
      <c r="O51">
        <v>0</v>
      </c>
      <c r="P51">
        <v>0</v>
      </c>
      <c r="Q51">
        <v>1.766666667</v>
      </c>
    </row>
    <row r="52" spans="1:17" x14ac:dyDescent="0.25">
      <c r="A52">
        <v>70</v>
      </c>
      <c r="B52">
        <v>20</v>
      </c>
      <c r="C52">
        <v>2</v>
      </c>
      <c r="D52">
        <v>0</v>
      </c>
      <c r="E52">
        <v>11</v>
      </c>
      <c r="F52">
        <v>3.04</v>
      </c>
      <c r="G52">
        <v>1</v>
      </c>
      <c r="H52">
        <v>0</v>
      </c>
      <c r="I52">
        <v>0</v>
      </c>
      <c r="J52">
        <v>0</v>
      </c>
      <c r="K52">
        <v>0</v>
      </c>
      <c r="L52">
        <v>1</v>
      </c>
      <c r="M52">
        <v>1</v>
      </c>
      <c r="N52">
        <v>0</v>
      </c>
      <c r="O52">
        <v>1</v>
      </c>
      <c r="P52">
        <v>0</v>
      </c>
      <c r="Q52">
        <v>111.2</v>
      </c>
    </row>
    <row r="53" spans="1:17" x14ac:dyDescent="0.25">
      <c r="A53">
        <v>67</v>
      </c>
      <c r="B53">
        <v>50</v>
      </c>
      <c r="C53">
        <v>3</v>
      </c>
      <c r="D53">
        <v>6</v>
      </c>
      <c r="E53">
        <v>1</v>
      </c>
      <c r="F53">
        <v>6.1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0</v>
      </c>
      <c r="O53">
        <v>1</v>
      </c>
      <c r="P53">
        <v>1</v>
      </c>
      <c r="Q53">
        <v>49.233333330000001</v>
      </c>
    </row>
    <row r="54" spans="1:17" x14ac:dyDescent="0.25">
      <c r="A54">
        <v>63</v>
      </c>
      <c r="B54">
        <v>12</v>
      </c>
      <c r="C54">
        <v>1</v>
      </c>
      <c r="D54">
        <v>0</v>
      </c>
      <c r="E54">
        <v>8</v>
      </c>
      <c r="F54">
        <v>4.024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1</v>
      </c>
      <c r="N54">
        <v>0</v>
      </c>
      <c r="O54">
        <v>0</v>
      </c>
      <c r="P54">
        <v>0</v>
      </c>
      <c r="Q54">
        <v>63.033333329999998</v>
      </c>
    </row>
    <row r="55" spans="1:17" x14ac:dyDescent="0.25">
      <c r="A55">
        <v>62</v>
      </c>
      <c r="B55">
        <v>12</v>
      </c>
      <c r="C55">
        <v>1</v>
      </c>
      <c r="D55">
        <v>0</v>
      </c>
      <c r="E55">
        <v>2</v>
      </c>
      <c r="F55">
        <v>3.0239999999999898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1</v>
      </c>
      <c r="N55">
        <v>0</v>
      </c>
      <c r="O55">
        <v>1</v>
      </c>
      <c r="P55">
        <v>0</v>
      </c>
      <c r="Q55">
        <v>114.7666667</v>
      </c>
    </row>
    <row r="56" spans="1:17" x14ac:dyDescent="0.25">
      <c r="A56">
        <v>62</v>
      </c>
      <c r="B56">
        <v>9</v>
      </c>
      <c r="C56">
        <v>1</v>
      </c>
      <c r="D56">
        <v>0</v>
      </c>
      <c r="E56">
        <v>2</v>
      </c>
      <c r="F56">
        <v>2.0179999999999998</v>
      </c>
      <c r="G56">
        <v>1</v>
      </c>
      <c r="H56">
        <v>0</v>
      </c>
      <c r="I56">
        <v>0</v>
      </c>
      <c r="J56">
        <v>0</v>
      </c>
      <c r="K56">
        <v>0</v>
      </c>
      <c r="L56">
        <v>1</v>
      </c>
      <c r="M56">
        <v>1</v>
      </c>
      <c r="N56">
        <v>0</v>
      </c>
      <c r="O56">
        <v>1</v>
      </c>
      <c r="P56">
        <v>1</v>
      </c>
      <c r="Q56">
        <v>59.8</v>
      </c>
    </row>
    <row r="57" spans="1:17" x14ac:dyDescent="0.25">
      <c r="A57">
        <v>71</v>
      </c>
      <c r="B57">
        <v>30</v>
      </c>
      <c r="C57">
        <v>2</v>
      </c>
      <c r="D57">
        <v>0</v>
      </c>
      <c r="E57">
        <v>1</v>
      </c>
      <c r="F57">
        <v>4.0599999999999996</v>
      </c>
      <c r="G57">
        <v>1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  <c r="N57">
        <v>0</v>
      </c>
      <c r="O57">
        <v>0</v>
      </c>
      <c r="P57">
        <v>1</v>
      </c>
      <c r="Q57">
        <v>114.7666667</v>
      </c>
    </row>
    <row r="58" spans="1:17" x14ac:dyDescent="0.25">
      <c r="A58">
        <v>57</v>
      </c>
      <c r="B58">
        <v>14</v>
      </c>
      <c r="C58">
        <v>2</v>
      </c>
      <c r="D58">
        <v>1</v>
      </c>
      <c r="E58">
        <v>5</v>
      </c>
      <c r="F58">
        <v>4.0279999999999996</v>
      </c>
      <c r="G58">
        <v>0</v>
      </c>
      <c r="H58">
        <v>1</v>
      </c>
      <c r="I58">
        <v>0</v>
      </c>
      <c r="J58">
        <v>0</v>
      </c>
      <c r="K58">
        <v>0</v>
      </c>
      <c r="L58">
        <v>1</v>
      </c>
      <c r="M58">
        <v>1</v>
      </c>
      <c r="N58">
        <v>0</v>
      </c>
      <c r="O58">
        <v>1</v>
      </c>
      <c r="P58">
        <v>1</v>
      </c>
      <c r="Q58">
        <v>55.766666669999999</v>
      </c>
    </row>
    <row r="59" spans="1:17" x14ac:dyDescent="0.25">
      <c r="A59">
        <v>37</v>
      </c>
      <c r="B59">
        <v>16</v>
      </c>
      <c r="C59">
        <v>2</v>
      </c>
      <c r="D59">
        <v>0</v>
      </c>
      <c r="E59">
        <v>4</v>
      </c>
      <c r="F59">
        <v>4.032</v>
      </c>
      <c r="G59">
        <v>1</v>
      </c>
      <c r="H59">
        <v>0</v>
      </c>
      <c r="I59">
        <v>0</v>
      </c>
      <c r="J59">
        <v>0</v>
      </c>
      <c r="K59">
        <v>0</v>
      </c>
      <c r="L59">
        <v>1</v>
      </c>
      <c r="M59">
        <v>1</v>
      </c>
      <c r="N59">
        <v>1</v>
      </c>
      <c r="O59">
        <v>0</v>
      </c>
      <c r="P59">
        <v>1</v>
      </c>
      <c r="Q59">
        <v>10.83333333</v>
      </c>
    </row>
    <row r="60" spans="1:17" x14ac:dyDescent="0.25">
      <c r="A60">
        <v>53</v>
      </c>
      <c r="B60">
        <v>52</v>
      </c>
      <c r="C60">
        <v>3</v>
      </c>
      <c r="D60">
        <v>22</v>
      </c>
      <c r="E60">
        <v>2</v>
      </c>
      <c r="F60">
        <v>6.1040000000000001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1</v>
      </c>
      <c r="N60">
        <v>1</v>
      </c>
      <c r="O60">
        <v>1</v>
      </c>
      <c r="P60">
        <v>1</v>
      </c>
      <c r="Q60">
        <v>47.633333329999999</v>
      </c>
    </row>
    <row r="61" spans="1:17" x14ac:dyDescent="0.25">
      <c r="A61">
        <v>44</v>
      </c>
      <c r="B61">
        <v>24</v>
      </c>
      <c r="C61">
        <v>2</v>
      </c>
      <c r="D61">
        <v>3</v>
      </c>
      <c r="E61">
        <v>2</v>
      </c>
      <c r="F61">
        <v>5.048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1</v>
      </c>
      <c r="N61">
        <v>1</v>
      </c>
      <c r="O61">
        <v>1</v>
      </c>
      <c r="P61">
        <v>1</v>
      </c>
      <c r="Q61">
        <v>104.4</v>
      </c>
    </row>
    <row r="62" spans="1:17" x14ac:dyDescent="0.25">
      <c r="A62">
        <v>76</v>
      </c>
      <c r="B62">
        <v>38</v>
      </c>
      <c r="C62">
        <v>2</v>
      </c>
      <c r="D62">
        <v>2</v>
      </c>
      <c r="E62">
        <v>9</v>
      </c>
      <c r="F62">
        <v>5.0759999999999996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0</v>
      </c>
      <c r="O62">
        <v>1</v>
      </c>
      <c r="P62">
        <v>1</v>
      </c>
      <c r="Q62">
        <v>43.1</v>
      </c>
    </row>
    <row r="63" spans="1:17" x14ac:dyDescent="0.25">
      <c r="A63">
        <v>60</v>
      </c>
      <c r="B63">
        <v>17</v>
      </c>
      <c r="C63">
        <v>1</v>
      </c>
      <c r="D63">
        <v>0</v>
      </c>
      <c r="E63">
        <v>1</v>
      </c>
      <c r="F63">
        <v>4.0339999999999998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1</v>
      </c>
      <c r="N63">
        <v>0</v>
      </c>
      <c r="O63">
        <v>1</v>
      </c>
      <c r="P63">
        <v>1</v>
      </c>
      <c r="Q63">
        <v>122.7666667</v>
      </c>
    </row>
    <row r="64" spans="1:17" x14ac:dyDescent="0.25">
      <c r="A64">
        <v>64</v>
      </c>
      <c r="B64">
        <v>27</v>
      </c>
      <c r="C64">
        <v>2</v>
      </c>
      <c r="D64">
        <v>0</v>
      </c>
      <c r="E64">
        <v>4</v>
      </c>
      <c r="F64">
        <v>4.0539999999999896</v>
      </c>
      <c r="G64">
        <v>0</v>
      </c>
      <c r="H64">
        <v>1</v>
      </c>
      <c r="I64">
        <v>0</v>
      </c>
      <c r="J64">
        <v>0</v>
      </c>
      <c r="K64">
        <v>0</v>
      </c>
      <c r="L64">
        <v>1</v>
      </c>
      <c r="M64">
        <v>1</v>
      </c>
      <c r="N64">
        <v>0</v>
      </c>
      <c r="O64">
        <v>1</v>
      </c>
      <c r="P64">
        <v>1</v>
      </c>
      <c r="Q64">
        <v>5.4333333329999904</v>
      </c>
    </row>
    <row r="65" spans="1:17" x14ac:dyDescent="0.25">
      <c r="A65">
        <v>48</v>
      </c>
      <c r="B65">
        <v>20</v>
      </c>
      <c r="C65">
        <v>2</v>
      </c>
      <c r="D65">
        <v>1</v>
      </c>
      <c r="E65">
        <v>7</v>
      </c>
      <c r="F65">
        <v>4.04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1</v>
      </c>
      <c r="N65">
        <v>1</v>
      </c>
      <c r="O65">
        <v>1</v>
      </c>
      <c r="P65">
        <v>1</v>
      </c>
      <c r="Q65">
        <v>138.1</v>
      </c>
    </row>
    <row r="66" spans="1:17" x14ac:dyDescent="0.25">
      <c r="A66">
        <v>83</v>
      </c>
      <c r="B66">
        <v>44</v>
      </c>
      <c r="C66">
        <v>2</v>
      </c>
      <c r="D66">
        <v>4</v>
      </c>
      <c r="E66">
        <v>3</v>
      </c>
      <c r="F66">
        <v>6.0879999999999903</v>
      </c>
      <c r="G66">
        <v>1</v>
      </c>
      <c r="H66">
        <v>0</v>
      </c>
      <c r="I66">
        <v>0</v>
      </c>
      <c r="J66">
        <v>0</v>
      </c>
      <c r="K66">
        <v>0</v>
      </c>
      <c r="L66">
        <v>1</v>
      </c>
      <c r="M66">
        <v>1</v>
      </c>
      <c r="N66">
        <v>0</v>
      </c>
      <c r="O66">
        <v>1</v>
      </c>
      <c r="P66">
        <v>1</v>
      </c>
      <c r="Q66">
        <v>3.766666667</v>
      </c>
    </row>
    <row r="67" spans="1:17" x14ac:dyDescent="0.25">
      <c r="A67">
        <v>59</v>
      </c>
      <c r="B67">
        <v>24</v>
      </c>
      <c r="C67">
        <v>2</v>
      </c>
      <c r="D67">
        <v>0</v>
      </c>
      <c r="E67">
        <v>2</v>
      </c>
      <c r="F67">
        <v>4.048</v>
      </c>
      <c r="G67">
        <v>1</v>
      </c>
      <c r="H67">
        <v>0</v>
      </c>
      <c r="I67">
        <v>0</v>
      </c>
      <c r="J67">
        <v>0</v>
      </c>
      <c r="K67">
        <v>0</v>
      </c>
      <c r="L67">
        <v>1</v>
      </c>
      <c r="M67">
        <v>1</v>
      </c>
      <c r="N67">
        <v>1</v>
      </c>
      <c r="O67">
        <v>0</v>
      </c>
      <c r="P67">
        <v>1</v>
      </c>
      <c r="Q67">
        <v>78.766666670000006</v>
      </c>
    </row>
    <row r="68" spans="1:17" x14ac:dyDescent="0.25">
      <c r="A68">
        <v>69</v>
      </c>
      <c r="B68">
        <v>20</v>
      </c>
      <c r="C68">
        <v>1</v>
      </c>
      <c r="D68">
        <v>0</v>
      </c>
      <c r="E68">
        <v>2</v>
      </c>
      <c r="F68">
        <v>2.04</v>
      </c>
      <c r="G68">
        <v>1</v>
      </c>
      <c r="H68">
        <v>0</v>
      </c>
      <c r="I68">
        <v>0</v>
      </c>
      <c r="J68">
        <v>0</v>
      </c>
      <c r="K68">
        <v>0</v>
      </c>
      <c r="L68">
        <v>1</v>
      </c>
      <c r="M68">
        <v>1</v>
      </c>
      <c r="N68">
        <v>0</v>
      </c>
      <c r="O68">
        <v>1</v>
      </c>
      <c r="P68">
        <v>0</v>
      </c>
      <c r="Q68">
        <v>72.366666670000001</v>
      </c>
    </row>
    <row r="69" spans="1:17" x14ac:dyDescent="0.25">
      <c r="A69">
        <v>38</v>
      </c>
      <c r="B69">
        <v>36</v>
      </c>
      <c r="C69">
        <v>2</v>
      </c>
      <c r="D69">
        <v>7</v>
      </c>
      <c r="E69">
        <v>1</v>
      </c>
      <c r="F69">
        <v>6.0720000000000001</v>
      </c>
      <c r="G69">
        <v>1</v>
      </c>
      <c r="H69">
        <v>0</v>
      </c>
      <c r="I69">
        <v>0</v>
      </c>
      <c r="J69">
        <v>0</v>
      </c>
      <c r="K69">
        <v>0</v>
      </c>
      <c r="L69">
        <v>1</v>
      </c>
      <c r="M69">
        <v>1</v>
      </c>
      <c r="N69">
        <v>1</v>
      </c>
      <c r="O69">
        <v>1</v>
      </c>
      <c r="P69">
        <v>1</v>
      </c>
      <c r="Q69">
        <v>113.43333329999901</v>
      </c>
    </row>
    <row r="70" spans="1:17" x14ac:dyDescent="0.25">
      <c r="A70">
        <v>74</v>
      </c>
      <c r="B70">
        <v>21</v>
      </c>
      <c r="C70">
        <v>2</v>
      </c>
      <c r="D70">
        <v>0</v>
      </c>
      <c r="E70">
        <v>3</v>
      </c>
      <c r="F70">
        <v>4.0419999999999998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1</v>
      </c>
      <c r="N70">
        <v>0</v>
      </c>
      <c r="O70">
        <v>1</v>
      </c>
      <c r="P70">
        <v>1</v>
      </c>
      <c r="Q70">
        <v>104.4666667</v>
      </c>
    </row>
    <row r="71" spans="1:17" x14ac:dyDescent="0.25">
      <c r="A71">
        <v>51</v>
      </c>
      <c r="B71">
        <v>18</v>
      </c>
      <c r="C71">
        <v>1</v>
      </c>
      <c r="D71">
        <v>0</v>
      </c>
      <c r="E71">
        <v>2</v>
      </c>
      <c r="F71">
        <v>3.036</v>
      </c>
      <c r="G71">
        <v>1</v>
      </c>
      <c r="H71">
        <v>0</v>
      </c>
      <c r="I71">
        <v>0</v>
      </c>
      <c r="J71">
        <v>0</v>
      </c>
      <c r="K71">
        <v>0</v>
      </c>
      <c r="L71">
        <v>1</v>
      </c>
      <c r="M71">
        <v>1</v>
      </c>
      <c r="N71">
        <v>0</v>
      </c>
      <c r="O71">
        <v>1</v>
      </c>
      <c r="P71">
        <v>1</v>
      </c>
      <c r="Q71">
        <v>62.333333330000002</v>
      </c>
    </row>
    <row r="72" spans="1:17" x14ac:dyDescent="0.25">
      <c r="A72">
        <v>68</v>
      </c>
      <c r="B72">
        <v>21</v>
      </c>
      <c r="C72">
        <v>2</v>
      </c>
      <c r="D72">
        <v>1</v>
      </c>
      <c r="E72">
        <v>3</v>
      </c>
      <c r="F72">
        <v>4.0419999999999998</v>
      </c>
      <c r="G72">
        <v>1</v>
      </c>
      <c r="H72">
        <v>0</v>
      </c>
      <c r="I72">
        <v>0</v>
      </c>
      <c r="J72">
        <v>0</v>
      </c>
      <c r="K72">
        <v>0</v>
      </c>
      <c r="L72">
        <v>1</v>
      </c>
      <c r="M72">
        <v>1</v>
      </c>
      <c r="N72">
        <v>0</v>
      </c>
      <c r="O72">
        <v>1</v>
      </c>
      <c r="P72">
        <v>1</v>
      </c>
      <c r="Q72">
        <v>85.966666669999995</v>
      </c>
    </row>
    <row r="73" spans="1:17" x14ac:dyDescent="0.25">
      <c r="A73">
        <v>68</v>
      </c>
      <c r="B73">
        <v>25</v>
      </c>
      <c r="C73">
        <v>2</v>
      </c>
      <c r="D73">
        <v>0</v>
      </c>
      <c r="E73">
        <v>1</v>
      </c>
      <c r="F73">
        <v>3.05</v>
      </c>
      <c r="G73">
        <v>0</v>
      </c>
      <c r="H73">
        <v>0</v>
      </c>
      <c r="I73">
        <v>0</v>
      </c>
      <c r="J73">
        <v>1</v>
      </c>
      <c r="K73">
        <v>0</v>
      </c>
      <c r="L73">
        <v>1</v>
      </c>
      <c r="M73">
        <v>1</v>
      </c>
      <c r="N73">
        <v>0</v>
      </c>
      <c r="O73">
        <v>1</v>
      </c>
      <c r="P73">
        <v>0</v>
      </c>
      <c r="Q73">
        <v>109.033333299999</v>
      </c>
    </row>
    <row r="74" spans="1:17" x14ac:dyDescent="0.25">
      <c r="A74">
        <v>82</v>
      </c>
      <c r="B74">
        <v>45</v>
      </c>
      <c r="C74">
        <v>2</v>
      </c>
      <c r="D74">
        <v>2</v>
      </c>
      <c r="E74">
        <v>7</v>
      </c>
      <c r="F74">
        <v>4.09</v>
      </c>
      <c r="G74">
        <v>0</v>
      </c>
      <c r="H74">
        <v>0</v>
      </c>
      <c r="I74">
        <v>1</v>
      </c>
      <c r="J74">
        <v>0</v>
      </c>
      <c r="K74">
        <v>0</v>
      </c>
      <c r="L74">
        <v>0</v>
      </c>
      <c r="M74">
        <v>1</v>
      </c>
      <c r="N74">
        <v>1</v>
      </c>
      <c r="O74">
        <v>0</v>
      </c>
      <c r="P74">
        <v>1</v>
      </c>
      <c r="Q74">
        <v>31.3</v>
      </c>
    </row>
    <row r="75" spans="1:17" x14ac:dyDescent="0.25">
      <c r="A75">
        <v>57</v>
      </c>
      <c r="B75">
        <v>48</v>
      </c>
      <c r="C75">
        <v>4</v>
      </c>
      <c r="D75">
        <v>6</v>
      </c>
      <c r="E75">
        <v>2</v>
      </c>
      <c r="F75">
        <v>6.0960000000000001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1</v>
      </c>
      <c r="N75">
        <v>1</v>
      </c>
      <c r="O75">
        <v>1</v>
      </c>
      <c r="P75">
        <v>1</v>
      </c>
      <c r="Q75">
        <v>9.0666666669999998</v>
      </c>
    </row>
    <row r="76" spans="1:17" x14ac:dyDescent="0.25">
      <c r="A76">
        <v>62</v>
      </c>
      <c r="B76">
        <v>13</v>
      </c>
      <c r="C76">
        <v>1</v>
      </c>
      <c r="D76">
        <v>0</v>
      </c>
      <c r="E76">
        <v>2</v>
      </c>
      <c r="F76">
        <v>2.0259999999999998</v>
      </c>
      <c r="G76">
        <v>0</v>
      </c>
      <c r="H76">
        <v>1</v>
      </c>
      <c r="I76">
        <v>0</v>
      </c>
      <c r="J76">
        <v>0</v>
      </c>
      <c r="K76">
        <v>0</v>
      </c>
      <c r="L76">
        <v>1</v>
      </c>
      <c r="M76">
        <v>1</v>
      </c>
      <c r="N76">
        <v>0</v>
      </c>
      <c r="O76">
        <v>1</v>
      </c>
      <c r="P76">
        <v>1</v>
      </c>
      <c r="Q76">
        <v>144.6333333</v>
      </c>
    </row>
    <row r="77" spans="1:17" x14ac:dyDescent="0.25">
      <c r="A77">
        <v>56</v>
      </c>
      <c r="B77">
        <v>21</v>
      </c>
      <c r="C77">
        <v>2</v>
      </c>
      <c r="D77">
        <v>6</v>
      </c>
      <c r="E77">
        <v>5</v>
      </c>
      <c r="F77">
        <v>5.0419999999999998</v>
      </c>
      <c r="G77">
        <v>1</v>
      </c>
      <c r="H77">
        <v>0</v>
      </c>
      <c r="I77">
        <v>0</v>
      </c>
      <c r="J77">
        <v>0</v>
      </c>
      <c r="K77">
        <v>0</v>
      </c>
      <c r="L77">
        <v>1</v>
      </c>
      <c r="M77">
        <v>1</v>
      </c>
      <c r="N77">
        <v>1</v>
      </c>
      <c r="O77">
        <v>1</v>
      </c>
      <c r="P77">
        <v>1</v>
      </c>
      <c r="Q77">
        <v>91.6</v>
      </c>
    </row>
    <row r="78" spans="1:17" x14ac:dyDescent="0.25">
      <c r="A78">
        <v>75</v>
      </c>
      <c r="B78">
        <v>28</v>
      </c>
      <c r="C78">
        <v>2</v>
      </c>
      <c r="D78">
        <v>21</v>
      </c>
      <c r="E78">
        <v>2</v>
      </c>
      <c r="F78">
        <v>6.056</v>
      </c>
      <c r="G78">
        <v>1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0</v>
      </c>
      <c r="O78">
        <v>1</v>
      </c>
      <c r="P78">
        <v>1</v>
      </c>
      <c r="Q78">
        <v>146</v>
      </c>
    </row>
    <row r="79" spans="1:17" x14ac:dyDescent="0.25">
      <c r="A79">
        <v>50</v>
      </c>
      <c r="B79">
        <v>24</v>
      </c>
      <c r="C79">
        <v>2</v>
      </c>
      <c r="D79">
        <v>2</v>
      </c>
      <c r="E79">
        <v>2</v>
      </c>
      <c r="F79">
        <v>5.048</v>
      </c>
      <c r="G79">
        <v>1</v>
      </c>
      <c r="H79">
        <v>0</v>
      </c>
      <c r="I79">
        <v>0</v>
      </c>
      <c r="J79">
        <v>0</v>
      </c>
      <c r="K79">
        <v>0</v>
      </c>
      <c r="L79">
        <v>1</v>
      </c>
      <c r="M79">
        <v>1</v>
      </c>
      <c r="N79">
        <v>1</v>
      </c>
      <c r="O79">
        <v>1</v>
      </c>
      <c r="P79">
        <v>1</v>
      </c>
      <c r="Q79">
        <v>70.733333329999994</v>
      </c>
    </row>
    <row r="80" spans="1:17" x14ac:dyDescent="0.25">
      <c r="A80">
        <v>43</v>
      </c>
      <c r="B80">
        <v>18</v>
      </c>
      <c r="C80">
        <v>2</v>
      </c>
      <c r="D80">
        <v>4</v>
      </c>
      <c r="E80">
        <v>3</v>
      </c>
      <c r="F80">
        <v>6.0359999999999996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1</v>
      </c>
      <c r="N80">
        <v>1</v>
      </c>
      <c r="O80">
        <v>1</v>
      </c>
      <c r="P80">
        <v>1</v>
      </c>
      <c r="Q80">
        <v>144.7666667</v>
      </c>
    </row>
    <row r="81" spans="1:17" x14ac:dyDescent="0.25">
      <c r="A81">
        <v>57</v>
      </c>
      <c r="B81">
        <v>19</v>
      </c>
      <c r="C81">
        <v>2</v>
      </c>
      <c r="D81">
        <v>1</v>
      </c>
      <c r="E81">
        <v>1</v>
      </c>
      <c r="F81">
        <v>5.0380000000000003</v>
      </c>
      <c r="G81">
        <v>0</v>
      </c>
      <c r="H81">
        <v>1</v>
      </c>
      <c r="I81">
        <v>0</v>
      </c>
      <c r="J81">
        <v>0</v>
      </c>
      <c r="K81">
        <v>0</v>
      </c>
      <c r="L81">
        <v>1</v>
      </c>
      <c r="M81">
        <v>1</v>
      </c>
      <c r="N81">
        <v>0</v>
      </c>
      <c r="O81">
        <v>1</v>
      </c>
      <c r="P81">
        <v>1</v>
      </c>
      <c r="Q81">
        <v>144.4</v>
      </c>
    </row>
    <row r="82" spans="1:17" x14ac:dyDescent="0.25">
      <c r="A82">
        <v>69</v>
      </c>
      <c r="B82">
        <v>38</v>
      </c>
      <c r="C82">
        <v>2</v>
      </c>
      <c r="D82">
        <v>0</v>
      </c>
      <c r="E82">
        <v>1</v>
      </c>
      <c r="F82">
        <v>4.0759999999999996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1</v>
      </c>
      <c r="N82">
        <v>0</v>
      </c>
      <c r="O82">
        <v>0</v>
      </c>
      <c r="P82">
        <v>1</v>
      </c>
      <c r="Q82">
        <v>130.8666667</v>
      </c>
    </row>
    <row r="83" spans="1:17" x14ac:dyDescent="0.25">
      <c r="A83">
        <v>49</v>
      </c>
      <c r="B83">
        <v>20</v>
      </c>
      <c r="C83">
        <v>1</v>
      </c>
      <c r="D83">
        <v>0</v>
      </c>
      <c r="E83">
        <v>4</v>
      </c>
      <c r="F83">
        <v>4.04</v>
      </c>
      <c r="G83">
        <v>1</v>
      </c>
      <c r="H83">
        <v>0</v>
      </c>
      <c r="I83">
        <v>0</v>
      </c>
      <c r="J83">
        <v>0</v>
      </c>
      <c r="K83">
        <v>0</v>
      </c>
      <c r="L83">
        <v>1</v>
      </c>
      <c r="M83">
        <v>1</v>
      </c>
      <c r="N83">
        <v>1</v>
      </c>
      <c r="O83">
        <v>0</v>
      </c>
      <c r="P83">
        <v>1</v>
      </c>
      <c r="Q83">
        <v>125.7</v>
      </c>
    </row>
    <row r="84" spans="1:17" x14ac:dyDescent="0.25">
      <c r="A84">
        <v>46</v>
      </c>
      <c r="B84">
        <v>30</v>
      </c>
      <c r="C84">
        <v>2</v>
      </c>
      <c r="D84">
        <v>1</v>
      </c>
      <c r="E84">
        <v>3</v>
      </c>
      <c r="F84">
        <v>5.0599999999999996</v>
      </c>
      <c r="G84">
        <v>1</v>
      </c>
      <c r="H84">
        <v>0</v>
      </c>
      <c r="I84">
        <v>0</v>
      </c>
      <c r="J84">
        <v>0</v>
      </c>
      <c r="K84">
        <v>0</v>
      </c>
      <c r="L84">
        <v>1</v>
      </c>
      <c r="M84">
        <v>1</v>
      </c>
      <c r="N84">
        <v>1</v>
      </c>
      <c r="O84">
        <v>1</v>
      </c>
      <c r="P84">
        <v>1</v>
      </c>
      <c r="Q84">
        <v>128.3666667</v>
      </c>
    </row>
    <row r="85" spans="1:17" x14ac:dyDescent="0.25">
      <c r="A85">
        <v>79</v>
      </c>
      <c r="B85">
        <v>10</v>
      </c>
      <c r="C85">
        <v>1</v>
      </c>
      <c r="D85">
        <v>0</v>
      </c>
      <c r="E85">
        <v>3</v>
      </c>
      <c r="F85">
        <v>2.02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1</v>
      </c>
      <c r="N85">
        <v>0</v>
      </c>
      <c r="O85">
        <v>1</v>
      </c>
      <c r="P85">
        <v>1</v>
      </c>
      <c r="Q85">
        <v>24.3</v>
      </c>
    </row>
    <row r="86" spans="1:17" x14ac:dyDescent="0.25">
      <c r="A86">
        <v>53</v>
      </c>
      <c r="B86">
        <v>26</v>
      </c>
      <c r="C86">
        <v>2</v>
      </c>
      <c r="D86">
        <v>0</v>
      </c>
      <c r="E86">
        <v>1</v>
      </c>
      <c r="F86">
        <v>3.052</v>
      </c>
      <c r="G86">
        <v>0</v>
      </c>
      <c r="H86">
        <v>0</v>
      </c>
      <c r="I86">
        <v>1</v>
      </c>
      <c r="J86">
        <v>0</v>
      </c>
      <c r="K86">
        <v>0</v>
      </c>
      <c r="L86">
        <v>1</v>
      </c>
      <c r="M86">
        <v>1</v>
      </c>
      <c r="N86">
        <v>0</v>
      </c>
      <c r="O86">
        <v>1</v>
      </c>
      <c r="P86">
        <v>1</v>
      </c>
      <c r="Q86">
        <v>144.46666669999999</v>
      </c>
    </row>
    <row r="87" spans="1:17" x14ac:dyDescent="0.25">
      <c r="A87">
        <v>55</v>
      </c>
      <c r="B87">
        <v>35</v>
      </c>
      <c r="C87">
        <v>2</v>
      </c>
      <c r="D87">
        <v>2</v>
      </c>
      <c r="E87">
        <v>7</v>
      </c>
      <c r="F87">
        <v>5.07</v>
      </c>
      <c r="G87">
        <v>1</v>
      </c>
      <c r="H87">
        <v>0</v>
      </c>
      <c r="I87">
        <v>0</v>
      </c>
      <c r="J87">
        <v>0</v>
      </c>
      <c r="K87">
        <v>0</v>
      </c>
      <c r="L87">
        <v>1</v>
      </c>
      <c r="M87">
        <v>1</v>
      </c>
      <c r="N87">
        <v>1</v>
      </c>
      <c r="O87">
        <v>0</v>
      </c>
      <c r="P87">
        <v>1</v>
      </c>
      <c r="Q87">
        <v>141.16666669999901</v>
      </c>
    </row>
    <row r="88" spans="1:17" x14ac:dyDescent="0.25">
      <c r="A88">
        <v>41</v>
      </c>
      <c r="B88">
        <v>27</v>
      </c>
      <c r="C88">
        <v>2</v>
      </c>
      <c r="D88">
        <v>0</v>
      </c>
      <c r="E88">
        <v>4</v>
      </c>
      <c r="F88">
        <v>4.0539999999999896</v>
      </c>
      <c r="G88">
        <v>1</v>
      </c>
      <c r="H88">
        <v>0</v>
      </c>
      <c r="I88">
        <v>0</v>
      </c>
      <c r="J88">
        <v>0</v>
      </c>
      <c r="K88">
        <v>0</v>
      </c>
      <c r="L88">
        <v>1</v>
      </c>
      <c r="M88">
        <v>1</v>
      </c>
      <c r="N88">
        <v>1</v>
      </c>
      <c r="O88">
        <v>0</v>
      </c>
      <c r="P88">
        <v>1</v>
      </c>
      <c r="Q88">
        <v>146.9</v>
      </c>
    </row>
    <row r="89" spans="1:17" x14ac:dyDescent="0.25">
      <c r="A89">
        <v>75</v>
      </c>
      <c r="B89">
        <v>40</v>
      </c>
      <c r="C89">
        <v>2</v>
      </c>
      <c r="D89">
        <v>0</v>
      </c>
      <c r="E89">
        <v>11</v>
      </c>
      <c r="F89">
        <v>3.08</v>
      </c>
      <c r="G89">
        <v>0</v>
      </c>
      <c r="H89">
        <v>1</v>
      </c>
      <c r="I89">
        <v>0</v>
      </c>
      <c r="J89">
        <v>0</v>
      </c>
      <c r="K89">
        <v>0</v>
      </c>
      <c r="L89">
        <v>1</v>
      </c>
      <c r="M89">
        <v>1</v>
      </c>
      <c r="N89">
        <v>0</v>
      </c>
      <c r="O89">
        <v>1</v>
      </c>
      <c r="P89">
        <v>1</v>
      </c>
      <c r="Q89">
        <v>122.2</v>
      </c>
    </row>
    <row r="90" spans="1:17" x14ac:dyDescent="0.25">
      <c r="A90">
        <v>43</v>
      </c>
      <c r="B90">
        <v>20</v>
      </c>
      <c r="C90">
        <v>2</v>
      </c>
      <c r="D90">
        <v>2</v>
      </c>
      <c r="E90">
        <v>2</v>
      </c>
      <c r="F90">
        <v>5.04</v>
      </c>
      <c r="G90">
        <v>1</v>
      </c>
      <c r="H90">
        <v>0</v>
      </c>
      <c r="I90">
        <v>0</v>
      </c>
      <c r="J90">
        <v>0</v>
      </c>
      <c r="K90">
        <v>0</v>
      </c>
      <c r="L90">
        <v>1</v>
      </c>
      <c r="M90">
        <v>1</v>
      </c>
      <c r="N90">
        <v>1</v>
      </c>
      <c r="O90">
        <v>1</v>
      </c>
      <c r="P90">
        <v>1</v>
      </c>
      <c r="Q90">
        <v>131.06666670000001</v>
      </c>
    </row>
    <row r="91" spans="1:17" x14ac:dyDescent="0.25">
      <c r="A91">
        <v>37</v>
      </c>
      <c r="B91">
        <v>20</v>
      </c>
      <c r="C91">
        <v>2</v>
      </c>
      <c r="D91">
        <v>6</v>
      </c>
      <c r="E91">
        <v>1</v>
      </c>
      <c r="F91">
        <v>6.04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1</v>
      </c>
      <c r="N91">
        <v>0</v>
      </c>
      <c r="O91">
        <v>0</v>
      </c>
      <c r="P91">
        <v>0</v>
      </c>
      <c r="Q91">
        <v>39.833333330000002</v>
      </c>
    </row>
    <row r="92" spans="1:17" x14ac:dyDescent="0.25">
      <c r="A92">
        <v>77</v>
      </c>
      <c r="B92">
        <v>20</v>
      </c>
      <c r="C92">
        <v>2</v>
      </c>
      <c r="D92">
        <v>7</v>
      </c>
      <c r="E92">
        <v>8</v>
      </c>
      <c r="F92">
        <v>6.04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1</v>
      </c>
      <c r="N92">
        <v>0</v>
      </c>
      <c r="O92">
        <v>0</v>
      </c>
      <c r="P92">
        <v>0</v>
      </c>
      <c r="Q92">
        <v>20.2</v>
      </c>
    </row>
    <row r="93" spans="1:17" x14ac:dyDescent="0.25">
      <c r="A93">
        <v>50</v>
      </c>
      <c r="B93">
        <v>20</v>
      </c>
      <c r="C93">
        <v>2</v>
      </c>
      <c r="D93">
        <v>0</v>
      </c>
      <c r="E93">
        <v>6</v>
      </c>
      <c r="F93">
        <v>2.04</v>
      </c>
      <c r="G93">
        <v>0</v>
      </c>
      <c r="H93">
        <v>0</v>
      </c>
      <c r="I93">
        <v>1</v>
      </c>
      <c r="J93">
        <v>0</v>
      </c>
      <c r="K93">
        <v>0</v>
      </c>
      <c r="L93">
        <v>1</v>
      </c>
      <c r="M93">
        <v>1</v>
      </c>
      <c r="N93">
        <v>1</v>
      </c>
      <c r="O93">
        <v>1</v>
      </c>
      <c r="P93">
        <v>1</v>
      </c>
      <c r="Q93">
        <v>212.7</v>
      </c>
    </row>
    <row r="94" spans="1:17" x14ac:dyDescent="0.25">
      <c r="A94">
        <v>50</v>
      </c>
      <c r="B94">
        <v>20</v>
      </c>
      <c r="C94">
        <v>2</v>
      </c>
      <c r="D94">
        <v>12</v>
      </c>
      <c r="E94">
        <v>5</v>
      </c>
      <c r="F94">
        <v>6.04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1</v>
      </c>
      <c r="N94">
        <v>1</v>
      </c>
      <c r="O94">
        <v>1</v>
      </c>
      <c r="P94">
        <v>1</v>
      </c>
      <c r="Q94">
        <v>81.333333330000002</v>
      </c>
    </row>
    <row r="95" spans="1:17" x14ac:dyDescent="0.25">
      <c r="A95">
        <v>58</v>
      </c>
      <c r="B95">
        <v>20</v>
      </c>
      <c r="C95">
        <v>2</v>
      </c>
      <c r="D95">
        <v>1</v>
      </c>
      <c r="E95">
        <v>4</v>
      </c>
      <c r="F95">
        <v>3.04</v>
      </c>
      <c r="G95">
        <v>1</v>
      </c>
      <c r="H95">
        <v>0</v>
      </c>
      <c r="I95">
        <v>0</v>
      </c>
      <c r="J95">
        <v>0</v>
      </c>
      <c r="K95">
        <v>0</v>
      </c>
      <c r="L95">
        <v>1</v>
      </c>
      <c r="M95">
        <v>1</v>
      </c>
      <c r="N95">
        <v>0</v>
      </c>
      <c r="O95">
        <v>1</v>
      </c>
      <c r="P95">
        <v>1</v>
      </c>
      <c r="Q95">
        <v>57.633333329999999</v>
      </c>
    </row>
    <row r="96" spans="1:17" x14ac:dyDescent="0.25">
      <c r="A96">
        <v>52</v>
      </c>
      <c r="B96">
        <v>24</v>
      </c>
      <c r="C96">
        <v>1</v>
      </c>
      <c r="D96">
        <v>0</v>
      </c>
      <c r="E96">
        <v>4</v>
      </c>
      <c r="F96">
        <v>3.048</v>
      </c>
      <c r="G96">
        <v>1</v>
      </c>
      <c r="H96">
        <v>0</v>
      </c>
      <c r="I96">
        <v>0</v>
      </c>
      <c r="J96">
        <v>0</v>
      </c>
      <c r="K96">
        <v>0</v>
      </c>
      <c r="L96">
        <v>1</v>
      </c>
      <c r="M96">
        <v>1</v>
      </c>
      <c r="N96">
        <v>0</v>
      </c>
      <c r="O96">
        <v>1</v>
      </c>
      <c r="P96">
        <v>0</v>
      </c>
      <c r="Q96">
        <v>111.8666667</v>
      </c>
    </row>
    <row r="97" spans="1:17" x14ac:dyDescent="0.25">
      <c r="A97">
        <v>63</v>
      </c>
      <c r="B97">
        <v>17</v>
      </c>
      <c r="C97">
        <v>2</v>
      </c>
      <c r="D97">
        <v>1</v>
      </c>
      <c r="E97">
        <v>1</v>
      </c>
      <c r="F97">
        <v>3.0339999999999998</v>
      </c>
      <c r="G97">
        <v>0</v>
      </c>
      <c r="H97">
        <v>0</v>
      </c>
      <c r="I97">
        <v>1</v>
      </c>
      <c r="J97">
        <v>0</v>
      </c>
      <c r="K97">
        <v>0</v>
      </c>
      <c r="L97">
        <v>0</v>
      </c>
      <c r="M97">
        <v>1</v>
      </c>
      <c r="N97">
        <v>0</v>
      </c>
      <c r="O97">
        <v>0</v>
      </c>
      <c r="P97">
        <v>0</v>
      </c>
      <c r="Q97">
        <v>10.83333333</v>
      </c>
    </row>
    <row r="98" spans="1:17" x14ac:dyDescent="0.25">
      <c r="A98">
        <v>45</v>
      </c>
      <c r="B98">
        <v>19</v>
      </c>
      <c r="C98">
        <v>1</v>
      </c>
      <c r="D98">
        <v>0</v>
      </c>
      <c r="E98">
        <v>5</v>
      </c>
      <c r="F98">
        <v>3.0379999999999998</v>
      </c>
      <c r="G98">
        <v>0</v>
      </c>
      <c r="H98">
        <v>1</v>
      </c>
      <c r="I98">
        <v>0</v>
      </c>
      <c r="J98">
        <v>0</v>
      </c>
      <c r="K98">
        <v>0</v>
      </c>
      <c r="L98">
        <v>1</v>
      </c>
      <c r="M98">
        <v>1</v>
      </c>
      <c r="N98">
        <v>0</v>
      </c>
      <c r="O98">
        <v>1</v>
      </c>
      <c r="P98">
        <v>1</v>
      </c>
      <c r="Q98">
        <v>71.5</v>
      </c>
    </row>
    <row r="99" spans="1:17" x14ac:dyDescent="0.25">
      <c r="A99">
        <v>41</v>
      </c>
      <c r="B99">
        <v>35</v>
      </c>
      <c r="C99">
        <v>0</v>
      </c>
      <c r="D99">
        <v>0</v>
      </c>
      <c r="E99">
        <v>2</v>
      </c>
      <c r="F99">
        <v>1.07</v>
      </c>
      <c r="G99">
        <v>1</v>
      </c>
      <c r="H99">
        <v>0</v>
      </c>
      <c r="I99">
        <v>0</v>
      </c>
      <c r="J99">
        <v>0</v>
      </c>
      <c r="K99">
        <v>0</v>
      </c>
      <c r="L99">
        <v>1</v>
      </c>
      <c r="M99">
        <v>1</v>
      </c>
      <c r="N99">
        <v>0</v>
      </c>
      <c r="O99">
        <v>0</v>
      </c>
      <c r="P99">
        <v>0</v>
      </c>
      <c r="Q99">
        <v>200.33333329999999</v>
      </c>
    </row>
    <row r="100" spans="1:17" x14ac:dyDescent="0.25">
      <c r="A100">
        <v>44</v>
      </c>
      <c r="B100">
        <v>14</v>
      </c>
      <c r="C100">
        <v>1</v>
      </c>
      <c r="D100">
        <v>0</v>
      </c>
      <c r="E100">
        <v>3</v>
      </c>
      <c r="F100">
        <v>3.028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1</v>
      </c>
      <c r="N100">
        <v>0</v>
      </c>
      <c r="O100">
        <v>0</v>
      </c>
      <c r="P100">
        <v>0</v>
      </c>
      <c r="Q100">
        <v>207.6333333</v>
      </c>
    </row>
    <row r="101" spans="1:17" x14ac:dyDescent="0.25">
      <c r="A101">
        <v>52</v>
      </c>
      <c r="B101">
        <v>20</v>
      </c>
      <c r="C101">
        <v>2</v>
      </c>
      <c r="D101">
        <v>1</v>
      </c>
      <c r="E101">
        <v>3</v>
      </c>
      <c r="F101">
        <v>4.04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</v>
      </c>
      <c r="N101">
        <v>1</v>
      </c>
      <c r="O101">
        <v>1</v>
      </c>
      <c r="P101">
        <v>1</v>
      </c>
      <c r="Q101">
        <v>142.56666669999899</v>
      </c>
    </row>
    <row r="102" spans="1:17" x14ac:dyDescent="0.25">
      <c r="A102">
        <v>43</v>
      </c>
      <c r="B102">
        <v>27</v>
      </c>
      <c r="C102">
        <v>2</v>
      </c>
      <c r="D102">
        <v>0</v>
      </c>
      <c r="E102">
        <v>1</v>
      </c>
      <c r="F102">
        <v>4.0539999999999896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1</v>
      </c>
      <c r="M102">
        <v>1</v>
      </c>
      <c r="N102">
        <v>1</v>
      </c>
      <c r="O102">
        <v>1</v>
      </c>
      <c r="P102">
        <v>1</v>
      </c>
      <c r="Q102">
        <v>205.03333330000001</v>
      </c>
    </row>
    <row r="103" spans="1:17" x14ac:dyDescent="0.25">
      <c r="A103">
        <v>52</v>
      </c>
      <c r="B103">
        <v>35</v>
      </c>
      <c r="C103">
        <v>2</v>
      </c>
      <c r="D103">
        <v>4</v>
      </c>
      <c r="E103">
        <v>1</v>
      </c>
      <c r="F103">
        <v>6.07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1</v>
      </c>
      <c r="M103">
        <v>1</v>
      </c>
      <c r="N103">
        <v>1</v>
      </c>
      <c r="O103">
        <v>0</v>
      </c>
      <c r="P103">
        <v>1</v>
      </c>
      <c r="Q103">
        <v>193.16666669999901</v>
      </c>
    </row>
    <row r="104" spans="1:17" x14ac:dyDescent="0.25">
      <c r="A104">
        <v>77</v>
      </c>
      <c r="B104">
        <v>46</v>
      </c>
      <c r="C104">
        <v>3</v>
      </c>
      <c r="D104">
        <v>0</v>
      </c>
      <c r="E104">
        <v>2</v>
      </c>
      <c r="F104">
        <v>2.0920000000000001</v>
      </c>
      <c r="G104">
        <v>0</v>
      </c>
      <c r="H104">
        <v>1</v>
      </c>
      <c r="I104">
        <v>0</v>
      </c>
      <c r="J104">
        <v>0</v>
      </c>
      <c r="K104">
        <v>0</v>
      </c>
      <c r="L104">
        <v>0</v>
      </c>
      <c r="M104">
        <v>1</v>
      </c>
      <c r="N104">
        <v>0</v>
      </c>
      <c r="O104">
        <v>1</v>
      </c>
      <c r="P104">
        <v>1</v>
      </c>
      <c r="Q104">
        <v>85.566666670000004</v>
      </c>
    </row>
    <row r="105" spans="1:17" x14ac:dyDescent="0.25">
      <c r="A105">
        <v>55</v>
      </c>
      <c r="B105">
        <v>29</v>
      </c>
      <c r="C105">
        <v>2</v>
      </c>
      <c r="D105">
        <v>0</v>
      </c>
      <c r="E105">
        <v>6</v>
      </c>
      <c r="F105">
        <v>4.0579999999999998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73.133333329999999</v>
      </c>
    </row>
    <row r="106" spans="1:17" x14ac:dyDescent="0.25">
      <c r="A106">
        <v>51</v>
      </c>
      <c r="B106">
        <v>18</v>
      </c>
      <c r="C106">
        <v>1</v>
      </c>
      <c r="D106">
        <v>0</v>
      </c>
      <c r="E106">
        <v>5</v>
      </c>
      <c r="F106">
        <v>3.036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1</v>
      </c>
      <c r="P106">
        <v>0</v>
      </c>
      <c r="Q106">
        <v>199.1</v>
      </c>
    </row>
    <row r="107" spans="1:17" x14ac:dyDescent="0.25">
      <c r="A107">
        <v>53</v>
      </c>
      <c r="B107">
        <v>22</v>
      </c>
      <c r="C107">
        <v>2</v>
      </c>
      <c r="D107">
        <v>1</v>
      </c>
      <c r="E107">
        <v>4</v>
      </c>
      <c r="F107">
        <v>4.0439999999999996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1</v>
      </c>
      <c r="N107">
        <v>1</v>
      </c>
      <c r="O107">
        <v>1</v>
      </c>
      <c r="P107">
        <v>1</v>
      </c>
      <c r="Q107">
        <v>149.7666667</v>
      </c>
    </row>
    <row r="108" spans="1:17" x14ac:dyDescent="0.25">
      <c r="A108">
        <v>67</v>
      </c>
      <c r="B108">
        <v>11</v>
      </c>
      <c r="C108">
        <v>1</v>
      </c>
      <c r="D108">
        <v>0</v>
      </c>
      <c r="E108">
        <v>1</v>
      </c>
      <c r="F108">
        <v>2.0219999999999998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0</v>
      </c>
      <c r="O108">
        <v>1</v>
      </c>
      <c r="P108">
        <v>0</v>
      </c>
      <c r="Q108">
        <v>149.7333333</v>
      </c>
    </row>
    <row r="109" spans="1:17" x14ac:dyDescent="0.25">
      <c r="A109">
        <v>54</v>
      </c>
      <c r="B109">
        <v>14</v>
      </c>
      <c r="C109">
        <v>1</v>
      </c>
      <c r="D109">
        <v>0</v>
      </c>
      <c r="E109">
        <v>13</v>
      </c>
      <c r="F109">
        <v>1.028</v>
      </c>
      <c r="G109">
        <v>0</v>
      </c>
      <c r="H109">
        <v>0</v>
      </c>
      <c r="I109">
        <v>1</v>
      </c>
      <c r="J109">
        <v>0</v>
      </c>
      <c r="K109">
        <v>0</v>
      </c>
      <c r="L109">
        <v>1</v>
      </c>
      <c r="M109">
        <v>1</v>
      </c>
      <c r="N109">
        <v>0</v>
      </c>
      <c r="O109">
        <v>1</v>
      </c>
      <c r="P109">
        <v>0</v>
      </c>
      <c r="Q109">
        <v>164.7</v>
      </c>
    </row>
    <row r="110" spans="1:17" x14ac:dyDescent="0.25">
      <c r="A110">
        <v>66</v>
      </c>
      <c r="B110">
        <v>15</v>
      </c>
      <c r="C110">
        <v>2</v>
      </c>
      <c r="D110">
        <v>1</v>
      </c>
      <c r="E110">
        <v>4</v>
      </c>
      <c r="F110">
        <v>4.03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1</v>
      </c>
      <c r="M110">
        <v>1</v>
      </c>
      <c r="N110">
        <v>0</v>
      </c>
      <c r="O110">
        <v>1</v>
      </c>
      <c r="P110">
        <v>1</v>
      </c>
      <c r="Q110">
        <v>185.6</v>
      </c>
    </row>
    <row r="111" spans="1:17" x14ac:dyDescent="0.25">
      <c r="A111">
        <v>53</v>
      </c>
      <c r="B111">
        <v>11</v>
      </c>
      <c r="C111">
        <v>1</v>
      </c>
      <c r="D111">
        <v>0</v>
      </c>
      <c r="E111">
        <v>2</v>
      </c>
      <c r="F111">
        <v>4.0220000000000002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1</v>
      </c>
      <c r="N111">
        <v>0</v>
      </c>
      <c r="O111">
        <v>0</v>
      </c>
      <c r="P111">
        <v>1</v>
      </c>
      <c r="Q111">
        <v>188.33333329999999</v>
      </c>
    </row>
    <row r="112" spans="1:17" x14ac:dyDescent="0.25">
      <c r="A112">
        <v>69</v>
      </c>
      <c r="B112">
        <v>12</v>
      </c>
      <c r="C112">
        <v>1</v>
      </c>
      <c r="D112">
        <v>0</v>
      </c>
      <c r="E112">
        <v>1</v>
      </c>
      <c r="F112">
        <v>3.0239999999999898</v>
      </c>
      <c r="G112">
        <v>1</v>
      </c>
      <c r="H112">
        <v>0</v>
      </c>
      <c r="I112">
        <v>0</v>
      </c>
      <c r="J112">
        <v>0</v>
      </c>
      <c r="K112">
        <v>0</v>
      </c>
      <c r="L112">
        <v>1</v>
      </c>
      <c r="M112">
        <v>1</v>
      </c>
      <c r="N112">
        <v>0</v>
      </c>
      <c r="O112">
        <v>1</v>
      </c>
      <c r="P112">
        <v>0</v>
      </c>
      <c r="Q112">
        <v>152.30000000000001</v>
      </c>
    </row>
    <row r="113" spans="1:17" x14ac:dyDescent="0.25">
      <c r="A113">
        <v>53</v>
      </c>
      <c r="B113">
        <v>17</v>
      </c>
      <c r="C113">
        <v>1</v>
      </c>
      <c r="D113">
        <v>0</v>
      </c>
      <c r="E113">
        <v>3</v>
      </c>
      <c r="F113">
        <v>2.0339999999999998</v>
      </c>
      <c r="G113">
        <v>1</v>
      </c>
      <c r="H113">
        <v>0</v>
      </c>
      <c r="I113">
        <v>0</v>
      </c>
      <c r="J113">
        <v>0</v>
      </c>
      <c r="K113">
        <v>0</v>
      </c>
      <c r="L113">
        <v>1</v>
      </c>
      <c r="M113">
        <v>1</v>
      </c>
      <c r="N113">
        <v>0</v>
      </c>
      <c r="O113">
        <v>1</v>
      </c>
      <c r="P113">
        <v>0</v>
      </c>
      <c r="Q113">
        <v>200.7</v>
      </c>
    </row>
    <row r="114" spans="1:17" x14ac:dyDescent="0.25">
      <c r="A114">
        <v>57</v>
      </c>
      <c r="B114">
        <v>25</v>
      </c>
      <c r="C114">
        <v>2</v>
      </c>
      <c r="D114">
        <v>0</v>
      </c>
      <c r="E114">
        <v>1</v>
      </c>
      <c r="F114">
        <v>3.05</v>
      </c>
      <c r="G114">
        <v>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1</v>
      </c>
      <c r="O114">
        <v>1</v>
      </c>
      <c r="P114">
        <v>1</v>
      </c>
      <c r="Q114">
        <v>91.733333329999994</v>
      </c>
    </row>
    <row r="115" spans="1:17" x14ac:dyDescent="0.25">
      <c r="A115">
        <v>62</v>
      </c>
      <c r="B115">
        <v>11</v>
      </c>
      <c r="C115">
        <v>1</v>
      </c>
      <c r="D115">
        <v>0</v>
      </c>
      <c r="E115">
        <v>7</v>
      </c>
      <c r="F115">
        <v>4.0220000000000002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1</v>
      </c>
      <c r="M115">
        <v>1</v>
      </c>
      <c r="N115">
        <v>0</v>
      </c>
      <c r="O115">
        <v>1</v>
      </c>
      <c r="P115">
        <v>1</v>
      </c>
      <c r="Q115">
        <v>86.133333329999999</v>
      </c>
    </row>
    <row r="116" spans="1:17" x14ac:dyDescent="0.25">
      <c r="A116">
        <v>63</v>
      </c>
      <c r="B116">
        <v>26</v>
      </c>
      <c r="C116">
        <v>2</v>
      </c>
      <c r="D116">
        <v>6</v>
      </c>
      <c r="E116">
        <v>3</v>
      </c>
      <c r="F116">
        <v>4.0519999999999996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1</v>
      </c>
      <c r="P116">
        <v>1</v>
      </c>
      <c r="Q116">
        <v>90.233333329999994</v>
      </c>
    </row>
    <row r="117" spans="1:17" x14ac:dyDescent="0.25">
      <c r="A117">
        <v>46</v>
      </c>
      <c r="B117">
        <v>21</v>
      </c>
      <c r="C117">
        <v>2</v>
      </c>
      <c r="D117">
        <v>1</v>
      </c>
      <c r="E117">
        <v>2</v>
      </c>
      <c r="F117">
        <v>4.0419999999999998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1</v>
      </c>
      <c r="M117">
        <v>1</v>
      </c>
      <c r="N117">
        <v>0</v>
      </c>
      <c r="O117">
        <v>1</v>
      </c>
      <c r="P117">
        <v>1</v>
      </c>
      <c r="Q117">
        <v>189.1333333</v>
      </c>
    </row>
    <row r="118" spans="1:17" x14ac:dyDescent="0.25">
      <c r="A118">
        <v>66</v>
      </c>
      <c r="B118">
        <v>19</v>
      </c>
      <c r="C118">
        <v>4</v>
      </c>
      <c r="D118">
        <v>0</v>
      </c>
      <c r="E118">
        <v>8</v>
      </c>
      <c r="F118">
        <v>4.0380000000000003</v>
      </c>
      <c r="G118">
        <v>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28.5</v>
      </c>
    </row>
    <row r="119" spans="1:17" x14ac:dyDescent="0.25">
      <c r="A119">
        <v>45</v>
      </c>
      <c r="B119">
        <v>26</v>
      </c>
      <c r="C119">
        <v>2</v>
      </c>
      <c r="D119">
        <v>2</v>
      </c>
      <c r="E119">
        <v>1</v>
      </c>
      <c r="F119">
        <v>5.0519999999999996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1</v>
      </c>
      <c r="M119">
        <v>1</v>
      </c>
      <c r="N119">
        <v>1</v>
      </c>
      <c r="O119">
        <v>0</v>
      </c>
      <c r="P119">
        <v>1</v>
      </c>
      <c r="Q119">
        <v>22.233333330000001</v>
      </c>
    </row>
    <row r="120" spans="1:17" x14ac:dyDescent="0.25">
      <c r="A120">
        <v>29</v>
      </c>
      <c r="B120">
        <v>14</v>
      </c>
      <c r="C120">
        <v>2</v>
      </c>
      <c r="D120">
        <v>0</v>
      </c>
      <c r="E120">
        <v>4</v>
      </c>
      <c r="F120">
        <v>4.0279999999999996</v>
      </c>
      <c r="G120">
        <v>1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1</v>
      </c>
      <c r="N120">
        <v>0</v>
      </c>
      <c r="O120">
        <v>0</v>
      </c>
      <c r="P120">
        <v>0</v>
      </c>
      <c r="Q120">
        <v>337.03333329999998</v>
      </c>
    </row>
    <row r="121" spans="1:17" x14ac:dyDescent="0.25">
      <c r="A121">
        <v>55</v>
      </c>
      <c r="B121">
        <v>28</v>
      </c>
      <c r="C121">
        <v>1</v>
      </c>
      <c r="D121">
        <v>8</v>
      </c>
      <c r="E121">
        <v>5</v>
      </c>
      <c r="F121">
        <v>6.056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</v>
      </c>
      <c r="P121">
        <v>0</v>
      </c>
      <c r="Q121">
        <v>122</v>
      </c>
    </row>
    <row r="122" spans="1:17" x14ac:dyDescent="0.25">
      <c r="A122">
        <v>68</v>
      </c>
      <c r="B122">
        <v>25</v>
      </c>
      <c r="C122">
        <v>2</v>
      </c>
      <c r="D122">
        <v>3</v>
      </c>
      <c r="E122">
        <v>6</v>
      </c>
      <c r="F122">
        <v>4.05</v>
      </c>
      <c r="G122">
        <v>1</v>
      </c>
      <c r="H122">
        <v>0</v>
      </c>
      <c r="I122">
        <v>0</v>
      </c>
      <c r="J122">
        <v>0</v>
      </c>
      <c r="K122">
        <v>0</v>
      </c>
      <c r="L122">
        <v>1</v>
      </c>
      <c r="M122">
        <v>1</v>
      </c>
      <c r="N122">
        <v>0</v>
      </c>
      <c r="O122">
        <v>1</v>
      </c>
      <c r="P122">
        <v>1</v>
      </c>
      <c r="Q122">
        <v>186.53333330000001</v>
      </c>
    </row>
    <row r="123" spans="1:17" x14ac:dyDescent="0.25">
      <c r="A123">
        <v>34</v>
      </c>
      <c r="B123">
        <v>53</v>
      </c>
      <c r="C123">
        <v>3</v>
      </c>
      <c r="D123">
        <v>3</v>
      </c>
      <c r="E123">
        <v>2</v>
      </c>
      <c r="F123">
        <v>5.1059999999999999</v>
      </c>
      <c r="G123">
        <v>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1</v>
      </c>
      <c r="O123">
        <v>0</v>
      </c>
      <c r="P123">
        <v>0</v>
      </c>
      <c r="Q123">
        <v>5.8333333329999997</v>
      </c>
    </row>
    <row r="124" spans="1:17" x14ac:dyDescent="0.25">
      <c r="A124">
        <v>51</v>
      </c>
      <c r="B124">
        <v>18</v>
      </c>
      <c r="C124">
        <v>2</v>
      </c>
      <c r="D124">
        <v>8</v>
      </c>
      <c r="E124">
        <v>1</v>
      </c>
      <c r="F124">
        <v>6.0359999999999996</v>
      </c>
      <c r="G124">
        <v>0</v>
      </c>
      <c r="H124">
        <v>1</v>
      </c>
      <c r="I124">
        <v>0</v>
      </c>
      <c r="J124">
        <v>0</v>
      </c>
      <c r="K124">
        <v>0</v>
      </c>
      <c r="L124">
        <v>1</v>
      </c>
      <c r="M124">
        <v>1</v>
      </c>
      <c r="N124">
        <v>1</v>
      </c>
      <c r="O124">
        <v>1</v>
      </c>
      <c r="P124">
        <v>1</v>
      </c>
      <c r="Q124">
        <v>194.2333333</v>
      </c>
    </row>
    <row r="125" spans="1:17" x14ac:dyDescent="0.25">
      <c r="A125">
        <v>48</v>
      </c>
      <c r="B125">
        <v>28</v>
      </c>
      <c r="C125">
        <v>2</v>
      </c>
      <c r="D125">
        <v>14</v>
      </c>
      <c r="E125">
        <v>4</v>
      </c>
      <c r="F125">
        <v>5.056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0</v>
      </c>
      <c r="N125">
        <v>0</v>
      </c>
      <c r="O125">
        <v>0</v>
      </c>
      <c r="P125">
        <v>0</v>
      </c>
      <c r="Q125">
        <v>3.3666666670000001</v>
      </c>
    </row>
    <row r="126" spans="1:17" x14ac:dyDescent="0.25">
      <c r="A126">
        <v>62</v>
      </c>
      <c r="B126">
        <v>23</v>
      </c>
      <c r="C126">
        <v>2</v>
      </c>
      <c r="D126">
        <v>0</v>
      </c>
      <c r="E126">
        <v>1</v>
      </c>
      <c r="F126">
        <v>4.0460000000000003</v>
      </c>
      <c r="G126">
        <v>1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1</v>
      </c>
      <c r="N126">
        <v>0</v>
      </c>
      <c r="O126">
        <v>0</v>
      </c>
      <c r="P126">
        <v>0</v>
      </c>
      <c r="Q126">
        <v>192.6</v>
      </c>
    </row>
    <row r="127" spans="1:17" x14ac:dyDescent="0.25">
      <c r="A127">
        <v>55</v>
      </c>
      <c r="B127">
        <v>30</v>
      </c>
      <c r="C127">
        <v>2</v>
      </c>
      <c r="D127">
        <v>25</v>
      </c>
      <c r="E127">
        <v>2</v>
      </c>
      <c r="F127">
        <v>5.0599999999999996</v>
      </c>
      <c r="G127">
        <v>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1</v>
      </c>
      <c r="O127">
        <v>1</v>
      </c>
      <c r="P127">
        <v>0</v>
      </c>
      <c r="Q127">
        <v>63.8</v>
      </c>
    </row>
    <row r="128" spans="1:17" x14ac:dyDescent="0.25">
      <c r="A128">
        <v>51</v>
      </c>
      <c r="B128">
        <v>26</v>
      </c>
      <c r="C128">
        <v>2</v>
      </c>
      <c r="D128">
        <v>1</v>
      </c>
      <c r="E128">
        <v>1</v>
      </c>
      <c r="F128">
        <v>5.0519999999999996</v>
      </c>
      <c r="G128">
        <v>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1</v>
      </c>
      <c r="O128">
        <v>1</v>
      </c>
      <c r="P128">
        <v>0</v>
      </c>
      <c r="Q128">
        <v>39.200000000000003</v>
      </c>
    </row>
    <row r="129" spans="1:17" x14ac:dyDescent="0.25">
      <c r="A129">
        <v>46</v>
      </c>
      <c r="B129">
        <v>14</v>
      </c>
      <c r="C129">
        <v>2</v>
      </c>
      <c r="D129">
        <v>0</v>
      </c>
      <c r="E129">
        <v>2</v>
      </c>
      <c r="F129">
        <v>3.028</v>
      </c>
      <c r="G129">
        <v>1</v>
      </c>
      <c r="H129">
        <v>0</v>
      </c>
      <c r="I129">
        <v>0</v>
      </c>
      <c r="J129">
        <v>0</v>
      </c>
      <c r="K129">
        <v>0</v>
      </c>
      <c r="L129">
        <v>1</v>
      </c>
      <c r="M129">
        <v>1</v>
      </c>
      <c r="N129">
        <v>1</v>
      </c>
      <c r="O129">
        <v>1</v>
      </c>
      <c r="P129">
        <v>1</v>
      </c>
      <c r="Q129">
        <v>72.900000000000006</v>
      </c>
    </row>
    <row r="130" spans="1:17" x14ac:dyDescent="0.25">
      <c r="A130">
        <v>47</v>
      </c>
      <c r="B130">
        <v>9</v>
      </c>
      <c r="C130">
        <v>2</v>
      </c>
      <c r="D130">
        <v>1</v>
      </c>
      <c r="E130">
        <v>4</v>
      </c>
      <c r="F130">
        <v>3.0179999999999998</v>
      </c>
      <c r="G130">
        <v>1</v>
      </c>
      <c r="H130">
        <v>0</v>
      </c>
      <c r="I130">
        <v>0</v>
      </c>
      <c r="J130">
        <v>0</v>
      </c>
      <c r="K130">
        <v>0</v>
      </c>
      <c r="L130">
        <v>1</v>
      </c>
      <c r="M130">
        <v>1</v>
      </c>
      <c r="N130">
        <v>0</v>
      </c>
      <c r="O130">
        <v>1</v>
      </c>
      <c r="P130">
        <v>0</v>
      </c>
      <c r="Q130">
        <v>164.5</v>
      </c>
    </row>
    <row r="131" spans="1:17" x14ac:dyDescent="0.25">
      <c r="A131">
        <v>81</v>
      </c>
      <c r="B131">
        <v>29</v>
      </c>
      <c r="C131">
        <v>2</v>
      </c>
      <c r="D131">
        <v>5</v>
      </c>
      <c r="E131">
        <v>7</v>
      </c>
      <c r="F131">
        <v>6.0579999999999998</v>
      </c>
      <c r="G131">
        <v>0</v>
      </c>
      <c r="H131">
        <v>0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1</v>
      </c>
      <c r="P131">
        <v>1</v>
      </c>
      <c r="Q131">
        <v>84.2</v>
      </c>
    </row>
    <row r="132" spans="1:17" x14ac:dyDescent="0.25">
      <c r="A132">
        <v>47</v>
      </c>
      <c r="B132">
        <v>11</v>
      </c>
      <c r="C132">
        <v>1</v>
      </c>
      <c r="D132">
        <v>0</v>
      </c>
      <c r="E132">
        <v>3</v>
      </c>
      <c r="F132">
        <v>4.0220000000000002</v>
      </c>
      <c r="G132">
        <v>1</v>
      </c>
      <c r="H132">
        <v>0</v>
      </c>
      <c r="I132">
        <v>0</v>
      </c>
      <c r="J132">
        <v>0</v>
      </c>
      <c r="K132">
        <v>0</v>
      </c>
      <c r="L132">
        <v>1</v>
      </c>
      <c r="M132">
        <v>1</v>
      </c>
      <c r="N132">
        <v>0</v>
      </c>
      <c r="O132">
        <v>1</v>
      </c>
      <c r="P132">
        <v>0</v>
      </c>
      <c r="Q132">
        <v>60.133333329999999</v>
      </c>
    </row>
    <row r="133" spans="1:17" x14ac:dyDescent="0.25">
      <c r="A133">
        <v>60</v>
      </c>
      <c r="B133">
        <v>35</v>
      </c>
      <c r="C133">
        <v>2</v>
      </c>
      <c r="D133">
        <v>6</v>
      </c>
      <c r="E133">
        <v>5</v>
      </c>
      <c r="F133">
        <v>6.07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0</v>
      </c>
      <c r="Q133">
        <v>63.5</v>
      </c>
    </row>
    <row r="134" spans="1:17" x14ac:dyDescent="0.25">
      <c r="A134">
        <v>82</v>
      </c>
      <c r="B134">
        <v>35</v>
      </c>
      <c r="C134">
        <v>2</v>
      </c>
      <c r="D134">
        <v>2</v>
      </c>
      <c r="E134">
        <v>21</v>
      </c>
      <c r="F134">
        <v>5.07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0</v>
      </c>
      <c r="O134">
        <v>1</v>
      </c>
      <c r="P134">
        <v>1</v>
      </c>
      <c r="Q134">
        <v>42.966666670000002</v>
      </c>
    </row>
    <row r="135" spans="1:17" x14ac:dyDescent="0.25">
      <c r="A135">
        <v>51</v>
      </c>
      <c r="B135">
        <v>19</v>
      </c>
      <c r="C135">
        <v>1</v>
      </c>
      <c r="D135">
        <v>0</v>
      </c>
      <c r="E135">
        <v>2</v>
      </c>
      <c r="F135">
        <v>2.0379999999999998</v>
      </c>
      <c r="G135">
        <v>0</v>
      </c>
      <c r="H135">
        <v>0</v>
      </c>
      <c r="I135">
        <v>0</v>
      </c>
      <c r="J135">
        <v>0</v>
      </c>
      <c r="K135">
        <v>1</v>
      </c>
      <c r="L135">
        <v>1</v>
      </c>
      <c r="M135">
        <v>0</v>
      </c>
      <c r="N135">
        <v>0</v>
      </c>
      <c r="O135">
        <v>0</v>
      </c>
      <c r="P135">
        <v>0</v>
      </c>
      <c r="Q135">
        <v>183.2666667</v>
      </c>
    </row>
    <row r="136" spans="1:17" x14ac:dyDescent="0.25">
      <c r="A136">
        <v>67</v>
      </c>
      <c r="B136">
        <v>16</v>
      </c>
      <c r="C136">
        <v>2</v>
      </c>
      <c r="D136">
        <v>1</v>
      </c>
      <c r="E136">
        <v>5</v>
      </c>
      <c r="F136">
        <v>4.032</v>
      </c>
      <c r="G136">
        <v>1</v>
      </c>
      <c r="H136">
        <v>0</v>
      </c>
      <c r="I136">
        <v>0</v>
      </c>
      <c r="J136">
        <v>0</v>
      </c>
      <c r="K136">
        <v>0</v>
      </c>
      <c r="L136">
        <v>1</v>
      </c>
      <c r="M136">
        <v>1</v>
      </c>
      <c r="N136">
        <v>0</v>
      </c>
      <c r="O136">
        <v>1</v>
      </c>
      <c r="P136">
        <v>1</v>
      </c>
      <c r="Q136">
        <v>185.16666669999901</v>
      </c>
    </row>
    <row r="137" spans="1:17" x14ac:dyDescent="0.25">
      <c r="A137">
        <v>55</v>
      </c>
      <c r="B137">
        <v>23</v>
      </c>
      <c r="C137">
        <v>2</v>
      </c>
      <c r="D137">
        <v>1</v>
      </c>
      <c r="E137">
        <v>3</v>
      </c>
      <c r="F137">
        <v>5.0460000000000003</v>
      </c>
      <c r="G137">
        <v>1</v>
      </c>
      <c r="H137">
        <v>0</v>
      </c>
      <c r="I137">
        <v>0</v>
      </c>
      <c r="J137">
        <v>0</v>
      </c>
      <c r="K137">
        <v>0</v>
      </c>
      <c r="L137">
        <v>1</v>
      </c>
      <c r="M137">
        <v>1</v>
      </c>
      <c r="N137">
        <v>0</v>
      </c>
      <c r="O137">
        <v>1</v>
      </c>
      <c r="P137">
        <v>0</v>
      </c>
      <c r="Q137">
        <v>184.7666667</v>
      </c>
    </row>
    <row r="138" spans="1:17" x14ac:dyDescent="0.25">
      <c r="A138">
        <v>73</v>
      </c>
      <c r="B138">
        <v>50</v>
      </c>
      <c r="C138">
        <v>2</v>
      </c>
      <c r="D138">
        <v>5</v>
      </c>
      <c r="E138">
        <v>4</v>
      </c>
      <c r="F138">
        <v>6.1</v>
      </c>
      <c r="G138">
        <v>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</v>
      </c>
      <c r="N138">
        <v>0</v>
      </c>
      <c r="O138">
        <v>0</v>
      </c>
      <c r="P138">
        <v>0</v>
      </c>
      <c r="Q138">
        <v>4.4333333330000002</v>
      </c>
    </row>
    <row r="139" spans="1:17" x14ac:dyDescent="0.25">
      <c r="A139">
        <v>56</v>
      </c>
      <c r="B139">
        <v>50</v>
      </c>
      <c r="C139">
        <v>2</v>
      </c>
      <c r="D139">
        <v>3</v>
      </c>
      <c r="E139">
        <v>5</v>
      </c>
      <c r="F139">
        <v>4.0999999999999996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1</v>
      </c>
      <c r="O139">
        <v>1</v>
      </c>
      <c r="P139">
        <v>1</v>
      </c>
      <c r="Q139">
        <v>186.2</v>
      </c>
    </row>
    <row r="140" spans="1:17" x14ac:dyDescent="0.25">
      <c r="A140">
        <v>50</v>
      </c>
      <c r="B140">
        <v>30</v>
      </c>
      <c r="C140">
        <v>2</v>
      </c>
      <c r="D140">
        <v>0</v>
      </c>
      <c r="E140">
        <v>4</v>
      </c>
      <c r="F140">
        <v>4.0599999999999996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1</v>
      </c>
      <c r="M140">
        <v>1</v>
      </c>
      <c r="N140">
        <v>0</v>
      </c>
      <c r="O140">
        <v>0</v>
      </c>
      <c r="P140">
        <v>1</v>
      </c>
      <c r="Q140">
        <v>182.9</v>
      </c>
    </row>
    <row r="141" spans="1:17" x14ac:dyDescent="0.25">
      <c r="A141">
        <v>58</v>
      </c>
      <c r="B141">
        <v>18</v>
      </c>
      <c r="C141">
        <v>1</v>
      </c>
      <c r="D141">
        <v>0</v>
      </c>
      <c r="E141">
        <v>1</v>
      </c>
      <c r="F141">
        <v>1.036</v>
      </c>
      <c r="G141">
        <v>0</v>
      </c>
      <c r="H141">
        <v>0</v>
      </c>
      <c r="I141">
        <v>0</v>
      </c>
      <c r="J141">
        <v>0</v>
      </c>
      <c r="K141">
        <v>1</v>
      </c>
      <c r="L141">
        <v>1</v>
      </c>
      <c r="M141">
        <v>1</v>
      </c>
      <c r="N141">
        <v>0</v>
      </c>
      <c r="O141">
        <v>0</v>
      </c>
      <c r="P141">
        <v>0</v>
      </c>
      <c r="Q141">
        <v>168.7</v>
      </c>
    </row>
    <row r="142" spans="1:17" x14ac:dyDescent="0.25">
      <c r="A142">
        <v>92</v>
      </c>
      <c r="B142">
        <v>32</v>
      </c>
      <c r="C142">
        <v>2</v>
      </c>
      <c r="D142">
        <v>10</v>
      </c>
      <c r="E142">
        <v>4</v>
      </c>
      <c r="F142">
        <v>5.0640000000000001</v>
      </c>
      <c r="G142">
        <v>0</v>
      </c>
      <c r="H142">
        <v>1</v>
      </c>
      <c r="I142">
        <v>0</v>
      </c>
      <c r="J142">
        <v>0</v>
      </c>
      <c r="K142">
        <v>0</v>
      </c>
      <c r="L142">
        <v>0</v>
      </c>
      <c r="M142">
        <v>1</v>
      </c>
      <c r="N142">
        <v>0</v>
      </c>
      <c r="O142">
        <v>1</v>
      </c>
      <c r="P142">
        <v>1</v>
      </c>
      <c r="Q142">
        <v>40.700000000000003</v>
      </c>
    </row>
    <row r="143" spans="1:17" x14ac:dyDescent="0.25">
      <c r="A143">
        <v>50</v>
      </c>
      <c r="B143">
        <v>17</v>
      </c>
      <c r="C143">
        <v>1</v>
      </c>
      <c r="D143">
        <v>0</v>
      </c>
      <c r="E143">
        <v>8</v>
      </c>
      <c r="F143">
        <v>2.0339999999999998</v>
      </c>
      <c r="G143">
        <v>0</v>
      </c>
      <c r="H143">
        <v>1</v>
      </c>
      <c r="I143">
        <v>0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1</v>
      </c>
      <c r="P143">
        <v>1</v>
      </c>
      <c r="Q143">
        <v>63.733333330000001</v>
      </c>
    </row>
    <row r="144" spans="1:17" x14ac:dyDescent="0.25">
      <c r="A144">
        <v>46</v>
      </c>
      <c r="B144">
        <v>30</v>
      </c>
      <c r="C144">
        <v>2</v>
      </c>
      <c r="D144">
        <v>2</v>
      </c>
      <c r="E144">
        <v>3</v>
      </c>
      <c r="F144">
        <v>5.0599999999999996</v>
      </c>
      <c r="G144">
        <v>1</v>
      </c>
      <c r="H144">
        <v>0</v>
      </c>
      <c r="I144">
        <v>0</v>
      </c>
      <c r="J144">
        <v>0</v>
      </c>
      <c r="K144">
        <v>0</v>
      </c>
      <c r="L144">
        <v>1</v>
      </c>
      <c r="M144">
        <v>1</v>
      </c>
      <c r="N144">
        <v>1</v>
      </c>
      <c r="O144">
        <v>1</v>
      </c>
      <c r="P144">
        <v>0</v>
      </c>
      <c r="Q144">
        <v>174.6333333</v>
      </c>
    </row>
    <row r="145" spans="1:17" x14ac:dyDescent="0.25">
      <c r="A145">
        <v>47</v>
      </c>
      <c r="B145">
        <v>32</v>
      </c>
      <c r="C145">
        <v>2</v>
      </c>
      <c r="D145">
        <v>6</v>
      </c>
      <c r="E145">
        <v>1</v>
      </c>
      <c r="F145">
        <v>6.0640000000000001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1</v>
      </c>
      <c r="O145">
        <v>1</v>
      </c>
      <c r="P145">
        <v>1</v>
      </c>
      <c r="Q145">
        <v>144.96666669999999</v>
      </c>
    </row>
    <row r="146" spans="1:17" x14ac:dyDescent="0.25">
      <c r="A146">
        <v>79</v>
      </c>
      <c r="B146">
        <v>45</v>
      </c>
      <c r="C146">
        <v>2</v>
      </c>
      <c r="D146">
        <v>0</v>
      </c>
      <c r="E146">
        <v>10</v>
      </c>
      <c r="F146">
        <v>4.09</v>
      </c>
      <c r="G146">
        <v>1</v>
      </c>
      <c r="H146">
        <v>0</v>
      </c>
      <c r="I146">
        <v>0</v>
      </c>
      <c r="J146">
        <v>0</v>
      </c>
      <c r="K146">
        <v>0</v>
      </c>
      <c r="L146">
        <v>1</v>
      </c>
      <c r="M146">
        <v>1</v>
      </c>
      <c r="N146">
        <v>0</v>
      </c>
      <c r="O146">
        <v>1</v>
      </c>
      <c r="P146">
        <v>1</v>
      </c>
      <c r="Q146">
        <v>177.53333330000001</v>
      </c>
    </row>
    <row r="147" spans="1:17" x14ac:dyDescent="0.25">
      <c r="A147">
        <v>74</v>
      </c>
      <c r="B147">
        <v>22</v>
      </c>
      <c r="C147">
        <v>2</v>
      </c>
      <c r="D147">
        <v>1</v>
      </c>
      <c r="E147">
        <v>1</v>
      </c>
      <c r="F147">
        <v>5.0439999999999996</v>
      </c>
      <c r="G147">
        <v>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0</v>
      </c>
      <c r="O147">
        <v>1</v>
      </c>
      <c r="P147">
        <v>1</v>
      </c>
      <c r="Q147">
        <v>170.6333333</v>
      </c>
    </row>
    <row r="148" spans="1:17" x14ac:dyDescent="0.25">
      <c r="A148">
        <v>79</v>
      </c>
      <c r="B148">
        <v>16</v>
      </c>
      <c r="C148">
        <v>2</v>
      </c>
      <c r="D148">
        <v>3</v>
      </c>
      <c r="E148">
        <v>4</v>
      </c>
      <c r="F148">
        <v>5.032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1</v>
      </c>
      <c r="M148">
        <v>1</v>
      </c>
      <c r="N148">
        <v>0</v>
      </c>
      <c r="O148">
        <v>1</v>
      </c>
      <c r="P148">
        <v>1</v>
      </c>
      <c r="Q148">
        <v>164.7333333</v>
      </c>
    </row>
    <row r="149" spans="1:17" x14ac:dyDescent="0.25">
      <c r="A149">
        <v>70</v>
      </c>
      <c r="B149">
        <v>30</v>
      </c>
      <c r="C149">
        <v>2</v>
      </c>
      <c r="D149">
        <v>3</v>
      </c>
      <c r="E149">
        <v>4</v>
      </c>
      <c r="F149">
        <v>4.0599999999999996</v>
      </c>
      <c r="G149">
        <v>1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</v>
      </c>
      <c r="N149">
        <v>0</v>
      </c>
      <c r="O149">
        <v>1</v>
      </c>
      <c r="P149">
        <v>0</v>
      </c>
      <c r="Q149">
        <v>91.133333329999999</v>
      </c>
    </row>
    <row r="150" spans="1:17" x14ac:dyDescent="0.25">
      <c r="A150">
        <v>59</v>
      </c>
      <c r="B150">
        <v>29</v>
      </c>
      <c r="C150">
        <v>2</v>
      </c>
      <c r="D150">
        <v>2</v>
      </c>
      <c r="E150">
        <v>2</v>
      </c>
      <c r="F150">
        <v>4.0579999999999998</v>
      </c>
      <c r="G150">
        <v>0</v>
      </c>
      <c r="H150">
        <v>0</v>
      </c>
      <c r="I150">
        <v>1</v>
      </c>
      <c r="J150">
        <v>0</v>
      </c>
      <c r="K150">
        <v>0</v>
      </c>
      <c r="L150">
        <v>1</v>
      </c>
      <c r="M150">
        <v>1</v>
      </c>
      <c r="N150">
        <v>0</v>
      </c>
      <c r="O150">
        <v>1</v>
      </c>
      <c r="P150">
        <v>1</v>
      </c>
      <c r="Q150">
        <v>152.93333329999999</v>
      </c>
    </row>
    <row r="151" spans="1:17" x14ac:dyDescent="0.25">
      <c r="A151">
        <v>37</v>
      </c>
      <c r="B151">
        <v>28</v>
      </c>
      <c r="C151">
        <v>2</v>
      </c>
      <c r="D151">
        <v>1</v>
      </c>
      <c r="E151">
        <v>6</v>
      </c>
      <c r="F151">
        <v>4.056</v>
      </c>
      <c r="G151">
        <v>1</v>
      </c>
      <c r="H151">
        <v>0</v>
      </c>
      <c r="I151">
        <v>0</v>
      </c>
      <c r="J151">
        <v>0</v>
      </c>
      <c r="K151">
        <v>0</v>
      </c>
      <c r="L151">
        <v>1</v>
      </c>
      <c r="M151">
        <v>1</v>
      </c>
      <c r="N151">
        <v>1</v>
      </c>
      <c r="O151">
        <v>1</v>
      </c>
      <c r="P151">
        <v>0</v>
      </c>
      <c r="Q151">
        <v>72.666666669999998</v>
      </c>
    </row>
    <row r="152" spans="1:17" x14ac:dyDescent="0.25">
      <c r="A152">
        <v>32</v>
      </c>
      <c r="B152">
        <v>16</v>
      </c>
      <c r="C152">
        <v>2</v>
      </c>
      <c r="D152">
        <v>5</v>
      </c>
      <c r="E152">
        <v>8</v>
      </c>
      <c r="F152">
        <v>6.032</v>
      </c>
      <c r="G152">
        <v>1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1</v>
      </c>
      <c r="N152">
        <v>0</v>
      </c>
      <c r="O152">
        <v>0</v>
      </c>
      <c r="P152">
        <v>0</v>
      </c>
      <c r="Q152">
        <v>20.43333333</v>
      </c>
    </row>
    <row r="153" spans="1:17" x14ac:dyDescent="0.25">
      <c r="A153">
        <v>49</v>
      </c>
      <c r="B153">
        <v>80</v>
      </c>
      <c r="C153">
        <v>2</v>
      </c>
      <c r="D153">
        <v>0</v>
      </c>
      <c r="E153">
        <v>8</v>
      </c>
      <c r="F153">
        <v>5.16</v>
      </c>
      <c r="G153">
        <v>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46.066666669999996</v>
      </c>
    </row>
    <row r="154" spans="1:17" x14ac:dyDescent="0.25">
      <c r="A154">
        <v>61</v>
      </c>
      <c r="B154">
        <v>13</v>
      </c>
      <c r="C154">
        <v>1</v>
      </c>
      <c r="D154">
        <v>0</v>
      </c>
      <c r="E154">
        <v>5</v>
      </c>
      <c r="F154">
        <v>4.0259999999999998</v>
      </c>
      <c r="G154">
        <v>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1</v>
      </c>
      <c r="N154">
        <v>1</v>
      </c>
      <c r="O154">
        <v>1</v>
      </c>
      <c r="P154">
        <v>1</v>
      </c>
      <c r="Q154">
        <v>55.2</v>
      </c>
    </row>
    <row r="155" spans="1:17" x14ac:dyDescent="0.25">
      <c r="A155">
        <v>73</v>
      </c>
      <c r="B155">
        <v>17</v>
      </c>
      <c r="C155">
        <v>2</v>
      </c>
      <c r="D155">
        <v>3</v>
      </c>
      <c r="E155">
        <v>6</v>
      </c>
      <c r="F155">
        <v>5.0339999999999998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1</v>
      </c>
      <c r="N155">
        <v>0</v>
      </c>
      <c r="O155">
        <v>0</v>
      </c>
      <c r="P155">
        <v>0</v>
      </c>
      <c r="Q155">
        <v>11.6</v>
      </c>
    </row>
    <row r="156" spans="1:17" x14ac:dyDescent="0.25">
      <c r="A156">
        <v>58</v>
      </c>
      <c r="B156">
        <v>16</v>
      </c>
      <c r="C156">
        <v>2</v>
      </c>
      <c r="D156">
        <v>0</v>
      </c>
      <c r="E156">
        <v>4</v>
      </c>
      <c r="F156">
        <v>3.032</v>
      </c>
      <c r="G156">
        <v>1</v>
      </c>
      <c r="H156">
        <v>0</v>
      </c>
      <c r="I156">
        <v>0</v>
      </c>
      <c r="J156">
        <v>0</v>
      </c>
      <c r="K156">
        <v>0</v>
      </c>
      <c r="L156">
        <v>1</v>
      </c>
      <c r="M156">
        <v>1</v>
      </c>
      <c r="N156">
        <v>0</v>
      </c>
      <c r="O156">
        <v>0</v>
      </c>
      <c r="P156">
        <v>0</v>
      </c>
      <c r="Q156">
        <v>213.5</v>
      </c>
    </row>
    <row r="157" spans="1:17" x14ac:dyDescent="0.25">
      <c r="A157">
        <v>57</v>
      </c>
      <c r="B157">
        <v>26</v>
      </c>
      <c r="C157">
        <v>2</v>
      </c>
      <c r="D157">
        <v>2</v>
      </c>
      <c r="E157">
        <v>14</v>
      </c>
      <c r="F157">
        <v>5.0519999999999996</v>
      </c>
      <c r="G157">
        <v>1</v>
      </c>
      <c r="H157">
        <v>0</v>
      </c>
      <c r="I157">
        <v>0</v>
      </c>
      <c r="J157">
        <v>0</v>
      </c>
      <c r="K157">
        <v>0</v>
      </c>
      <c r="L157">
        <v>1</v>
      </c>
      <c r="M157">
        <v>1</v>
      </c>
      <c r="N157">
        <v>1</v>
      </c>
      <c r="O157">
        <v>1</v>
      </c>
      <c r="P157">
        <v>1</v>
      </c>
      <c r="Q157">
        <v>32.866666670000001</v>
      </c>
    </row>
    <row r="158" spans="1:17" x14ac:dyDescent="0.25">
      <c r="A158">
        <v>44</v>
      </c>
      <c r="B158">
        <v>22</v>
      </c>
      <c r="C158">
        <v>2</v>
      </c>
      <c r="D158">
        <v>0</v>
      </c>
      <c r="E158">
        <v>2</v>
      </c>
      <c r="F158">
        <v>3.0439999999999898</v>
      </c>
      <c r="G158">
        <v>1</v>
      </c>
      <c r="H158">
        <v>0</v>
      </c>
      <c r="I158">
        <v>0</v>
      </c>
      <c r="J158">
        <v>0</v>
      </c>
      <c r="K158">
        <v>0</v>
      </c>
      <c r="L158">
        <v>1</v>
      </c>
      <c r="M158">
        <v>0</v>
      </c>
      <c r="N158">
        <v>0</v>
      </c>
      <c r="O158">
        <v>0</v>
      </c>
      <c r="P158">
        <v>1</v>
      </c>
      <c r="Q158">
        <v>21.6</v>
      </c>
    </row>
    <row r="159" spans="1:17" x14ac:dyDescent="0.25">
      <c r="A159">
        <v>83</v>
      </c>
      <c r="B159">
        <v>50</v>
      </c>
      <c r="C159">
        <v>2</v>
      </c>
      <c r="D159">
        <v>2</v>
      </c>
      <c r="E159">
        <v>6</v>
      </c>
      <c r="F159">
        <v>3.1</v>
      </c>
      <c r="G159">
        <v>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0</v>
      </c>
      <c r="O159">
        <v>1</v>
      </c>
      <c r="P159">
        <v>1</v>
      </c>
      <c r="Q159">
        <v>132.56666670000001</v>
      </c>
    </row>
    <row r="160" spans="1:17" x14ac:dyDescent="0.25">
      <c r="A160">
        <v>52</v>
      </c>
      <c r="B160">
        <v>18</v>
      </c>
      <c r="C160">
        <v>2</v>
      </c>
      <c r="D160">
        <v>1</v>
      </c>
      <c r="E160">
        <v>6</v>
      </c>
      <c r="F160">
        <v>4.0359999999999996</v>
      </c>
      <c r="G160">
        <v>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1</v>
      </c>
      <c r="O160">
        <v>1</v>
      </c>
      <c r="P160">
        <v>1</v>
      </c>
      <c r="Q160">
        <v>47.033333329999998</v>
      </c>
    </row>
    <row r="161" spans="1:17" x14ac:dyDescent="0.25">
      <c r="A161">
        <v>73</v>
      </c>
      <c r="B161">
        <v>67</v>
      </c>
      <c r="C161">
        <v>4</v>
      </c>
      <c r="D161">
        <v>7</v>
      </c>
      <c r="E161">
        <v>22</v>
      </c>
      <c r="F161">
        <v>5.1339999999999897</v>
      </c>
      <c r="G161">
        <v>0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89.9</v>
      </c>
    </row>
    <row r="162" spans="1:17" x14ac:dyDescent="0.25">
      <c r="A162">
        <v>48</v>
      </c>
      <c r="B162">
        <v>50</v>
      </c>
      <c r="C162">
        <v>3</v>
      </c>
      <c r="D162">
        <v>6</v>
      </c>
      <c r="E162">
        <v>5</v>
      </c>
      <c r="F162">
        <v>5.0999999999999996</v>
      </c>
      <c r="G162">
        <v>1</v>
      </c>
      <c r="H162">
        <v>0</v>
      </c>
      <c r="I162">
        <v>0</v>
      </c>
      <c r="J162">
        <v>0</v>
      </c>
      <c r="K162">
        <v>0</v>
      </c>
      <c r="L162">
        <v>1</v>
      </c>
      <c r="M162">
        <v>1</v>
      </c>
      <c r="N162">
        <v>1</v>
      </c>
      <c r="O162">
        <v>1</v>
      </c>
      <c r="P162">
        <v>1</v>
      </c>
      <c r="Q162">
        <v>176.6</v>
      </c>
    </row>
    <row r="163" spans="1:17" x14ac:dyDescent="0.25">
      <c r="A163">
        <v>76</v>
      </c>
      <c r="B163">
        <v>15</v>
      </c>
      <c r="C163">
        <v>1</v>
      </c>
      <c r="D163">
        <v>0</v>
      </c>
      <c r="E163">
        <v>6</v>
      </c>
      <c r="F163">
        <v>3.03</v>
      </c>
      <c r="G163">
        <v>0</v>
      </c>
      <c r="H163">
        <v>0</v>
      </c>
      <c r="I163">
        <v>0</v>
      </c>
      <c r="J163">
        <v>1</v>
      </c>
      <c r="K163">
        <v>0</v>
      </c>
      <c r="L163">
        <v>0</v>
      </c>
      <c r="M163">
        <v>1</v>
      </c>
      <c r="N163">
        <v>0</v>
      </c>
      <c r="O163">
        <v>1</v>
      </c>
      <c r="P163">
        <v>1</v>
      </c>
      <c r="Q163">
        <v>87.233333329999994</v>
      </c>
    </row>
    <row r="164" spans="1:17" x14ac:dyDescent="0.25">
      <c r="A164">
        <v>51</v>
      </c>
      <c r="B164">
        <v>22</v>
      </c>
      <c r="C164">
        <v>2</v>
      </c>
      <c r="D164">
        <v>0</v>
      </c>
      <c r="E164">
        <v>4</v>
      </c>
      <c r="F164">
        <v>3.0439999999999898</v>
      </c>
      <c r="G164">
        <v>0</v>
      </c>
      <c r="H164">
        <v>1</v>
      </c>
      <c r="I164">
        <v>0</v>
      </c>
      <c r="J164">
        <v>0</v>
      </c>
      <c r="K164">
        <v>0</v>
      </c>
      <c r="L164">
        <v>1</v>
      </c>
      <c r="M164">
        <v>1</v>
      </c>
      <c r="N164">
        <v>0</v>
      </c>
      <c r="O164">
        <v>1</v>
      </c>
      <c r="P164">
        <v>0</v>
      </c>
      <c r="Q164">
        <v>64.233333329999994</v>
      </c>
    </row>
    <row r="165" spans="1:17" x14ac:dyDescent="0.25">
      <c r="A165">
        <v>70</v>
      </c>
      <c r="B165">
        <v>9</v>
      </c>
      <c r="C165">
        <v>1</v>
      </c>
      <c r="D165">
        <v>0</v>
      </c>
      <c r="E165">
        <v>2</v>
      </c>
      <c r="F165">
        <v>3.0179999999999998</v>
      </c>
      <c r="G165">
        <v>0</v>
      </c>
      <c r="H165">
        <v>1</v>
      </c>
      <c r="I165">
        <v>0</v>
      </c>
      <c r="J165">
        <v>0</v>
      </c>
      <c r="K165">
        <v>0</v>
      </c>
      <c r="L165">
        <v>1</v>
      </c>
      <c r="M165">
        <v>1</v>
      </c>
      <c r="N165">
        <v>0</v>
      </c>
      <c r="O165">
        <v>1</v>
      </c>
      <c r="P165">
        <v>1</v>
      </c>
      <c r="Q165">
        <v>142.43333329999999</v>
      </c>
    </row>
    <row r="166" spans="1:17" x14ac:dyDescent="0.25">
      <c r="A166">
        <v>74</v>
      </c>
      <c r="B166">
        <v>31</v>
      </c>
      <c r="C166">
        <v>2</v>
      </c>
      <c r="D166">
        <v>10</v>
      </c>
      <c r="E166">
        <v>3</v>
      </c>
      <c r="F166">
        <v>6.0620000000000003</v>
      </c>
      <c r="G166">
        <v>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1</v>
      </c>
      <c r="O166">
        <v>1</v>
      </c>
      <c r="P166">
        <v>1</v>
      </c>
      <c r="Q166">
        <v>61.9</v>
      </c>
    </row>
    <row r="167" spans="1:17" x14ac:dyDescent="0.25">
      <c r="A167">
        <v>65</v>
      </c>
      <c r="B167">
        <v>27</v>
      </c>
      <c r="C167">
        <v>2</v>
      </c>
      <c r="D167">
        <v>7</v>
      </c>
      <c r="E167">
        <v>2</v>
      </c>
      <c r="F167">
        <v>6.0539999999999896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144.33333329999999</v>
      </c>
    </row>
    <row r="168" spans="1:17" x14ac:dyDescent="0.25">
      <c r="A168">
        <v>78</v>
      </c>
      <c r="B168">
        <v>22</v>
      </c>
      <c r="C168">
        <v>2</v>
      </c>
      <c r="D168">
        <v>6</v>
      </c>
      <c r="E168">
        <v>1</v>
      </c>
      <c r="F168">
        <v>6.0439999999999996</v>
      </c>
      <c r="G168">
        <v>1</v>
      </c>
      <c r="H168">
        <v>0</v>
      </c>
      <c r="I168">
        <v>0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1</v>
      </c>
      <c r="P168">
        <v>1</v>
      </c>
      <c r="Q168">
        <v>131.13333329999901</v>
      </c>
    </row>
    <row r="169" spans="1:17" x14ac:dyDescent="0.25">
      <c r="A169">
        <v>39</v>
      </c>
      <c r="B169">
        <v>18</v>
      </c>
      <c r="C169">
        <v>1</v>
      </c>
      <c r="D169">
        <v>0</v>
      </c>
      <c r="E169">
        <v>1</v>
      </c>
      <c r="F169">
        <v>4.0359999999999996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1</v>
      </c>
      <c r="O169">
        <v>1</v>
      </c>
      <c r="P169">
        <v>1</v>
      </c>
      <c r="Q169">
        <v>62.766666669999999</v>
      </c>
    </row>
    <row r="170" spans="1:17" x14ac:dyDescent="0.25">
      <c r="A170">
        <v>63</v>
      </c>
      <c r="B170">
        <v>24</v>
      </c>
      <c r="C170">
        <v>2</v>
      </c>
      <c r="D170">
        <v>2</v>
      </c>
      <c r="E170">
        <v>2</v>
      </c>
      <c r="F170">
        <v>5.048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0</v>
      </c>
      <c r="O170">
        <v>1</v>
      </c>
      <c r="P170">
        <v>1</v>
      </c>
      <c r="Q170">
        <v>27</v>
      </c>
    </row>
    <row r="171" spans="1:17" x14ac:dyDescent="0.25">
      <c r="A171">
        <v>34</v>
      </c>
      <c r="B171">
        <v>25</v>
      </c>
      <c r="C171">
        <v>2</v>
      </c>
      <c r="D171">
        <v>15</v>
      </c>
      <c r="E171">
        <v>2</v>
      </c>
      <c r="F171">
        <v>6.05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1</v>
      </c>
      <c r="M171">
        <v>1</v>
      </c>
      <c r="N171">
        <v>0</v>
      </c>
      <c r="O171">
        <v>1</v>
      </c>
      <c r="P171">
        <v>0</v>
      </c>
      <c r="Q171">
        <v>1.433333333</v>
      </c>
    </row>
    <row r="172" spans="1:17" x14ac:dyDescent="0.25">
      <c r="A172">
        <v>72</v>
      </c>
      <c r="B172">
        <v>23</v>
      </c>
      <c r="C172">
        <v>2</v>
      </c>
      <c r="D172">
        <v>1</v>
      </c>
      <c r="E172">
        <v>3</v>
      </c>
      <c r="F172">
        <v>5.0460000000000003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1</v>
      </c>
      <c r="M172">
        <v>1</v>
      </c>
      <c r="N172">
        <v>0</v>
      </c>
      <c r="O172">
        <v>0</v>
      </c>
      <c r="P172">
        <v>1</v>
      </c>
      <c r="Q172">
        <v>143.16666669999901</v>
      </c>
    </row>
    <row r="173" spans="1:17" x14ac:dyDescent="0.25">
      <c r="A173">
        <v>63</v>
      </c>
      <c r="B173">
        <v>12</v>
      </c>
      <c r="C173">
        <v>1</v>
      </c>
      <c r="D173">
        <v>0</v>
      </c>
      <c r="E173">
        <v>2</v>
      </c>
      <c r="F173">
        <v>3.0239999999999898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1</v>
      </c>
      <c r="M173">
        <v>1</v>
      </c>
      <c r="N173">
        <v>0</v>
      </c>
      <c r="O173">
        <v>1</v>
      </c>
      <c r="P173">
        <v>1</v>
      </c>
      <c r="Q173">
        <v>134.3666667</v>
      </c>
    </row>
    <row r="174" spans="1:17" x14ac:dyDescent="0.25">
      <c r="A174">
        <v>57</v>
      </c>
      <c r="B174">
        <v>28</v>
      </c>
      <c r="C174">
        <v>2</v>
      </c>
      <c r="D174">
        <v>2</v>
      </c>
      <c r="E174">
        <v>13</v>
      </c>
      <c r="F174">
        <v>5.056</v>
      </c>
      <c r="G174">
        <v>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1</v>
      </c>
      <c r="O174">
        <v>0</v>
      </c>
      <c r="P174">
        <v>1</v>
      </c>
      <c r="Q174">
        <v>97.3</v>
      </c>
    </row>
    <row r="175" spans="1:17" x14ac:dyDescent="0.25">
      <c r="A175">
        <v>48</v>
      </c>
      <c r="B175">
        <v>29</v>
      </c>
      <c r="C175">
        <v>2</v>
      </c>
      <c r="D175">
        <v>1</v>
      </c>
      <c r="E175">
        <v>5</v>
      </c>
      <c r="F175">
        <v>4.0579999999999998</v>
      </c>
      <c r="G175">
        <v>1</v>
      </c>
      <c r="H175">
        <v>0</v>
      </c>
      <c r="I175">
        <v>0</v>
      </c>
      <c r="J175">
        <v>0</v>
      </c>
      <c r="K175">
        <v>0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135.66666669999901</v>
      </c>
    </row>
    <row r="176" spans="1:17" x14ac:dyDescent="0.25">
      <c r="A176">
        <v>33</v>
      </c>
      <c r="B176">
        <v>21</v>
      </c>
      <c r="C176">
        <v>2</v>
      </c>
      <c r="D176">
        <v>0</v>
      </c>
      <c r="E176">
        <v>6</v>
      </c>
      <c r="F176">
        <v>4.0419999999999998</v>
      </c>
      <c r="G176">
        <v>1</v>
      </c>
      <c r="H176">
        <v>0</v>
      </c>
      <c r="I176">
        <v>0</v>
      </c>
      <c r="J176">
        <v>0</v>
      </c>
      <c r="K176">
        <v>0</v>
      </c>
      <c r="L176">
        <v>1</v>
      </c>
      <c r="M176">
        <v>1</v>
      </c>
      <c r="N176">
        <v>1</v>
      </c>
      <c r="O176">
        <v>1</v>
      </c>
      <c r="P176">
        <v>1</v>
      </c>
      <c r="Q176">
        <v>130.19999999999999</v>
      </c>
    </row>
    <row r="177" spans="1:17" x14ac:dyDescent="0.25">
      <c r="A177">
        <v>59</v>
      </c>
      <c r="B177">
        <v>22</v>
      </c>
      <c r="C177">
        <v>2</v>
      </c>
      <c r="D177">
        <v>2</v>
      </c>
      <c r="E177">
        <v>3</v>
      </c>
      <c r="F177">
        <v>4.0439999999999996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1</v>
      </c>
      <c r="M177">
        <v>1</v>
      </c>
      <c r="N177">
        <v>1</v>
      </c>
      <c r="O177">
        <v>1</v>
      </c>
      <c r="P177">
        <v>1</v>
      </c>
      <c r="Q177">
        <v>136.46666669999999</v>
      </c>
    </row>
    <row r="178" spans="1:17" x14ac:dyDescent="0.25">
      <c r="A178">
        <v>65</v>
      </c>
      <c r="B178">
        <v>19</v>
      </c>
      <c r="C178">
        <v>1</v>
      </c>
      <c r="D178">
        <v>0</v>
      </c>
      <c r="E178">
        <v>4</v>
      </c>
      <c r="F178">
        <v>4.0380000000000003</v>
      </c>
      <c r="G178">
        <v>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0</v>
      </c>
      <c r="O178">
        <v>1</v>
      </c>
      <c r="P178">
        <v>0</v>
      </c>
      <c r="Q178">
        <v>85.733333329999994</v>
      </c>
    </row>
    <row r="179" spans="1:17" x14ac:dyDescent="0.25">
      <c r="A179">
        <v>74</v>
      </c>
      <c r="B179">
        <v>43</v>
      </c>
      <c r="C179">
        <v>2</v>
      </c>
      <c r="D179">
        <v>13</v>
      </c>
      <c r="E179">
        <v>6</v>
      </c>
      <c r="F179">
        <v>6.0860000000000003</v>
      </c>
      <c r="G179">
        <v>1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1</v>
      </c>
      <c r="N179">
        <v>0</v>
      </c>
      <c r="O179">
        <v>1</v>
      </c>
      <c r="P179">
        <v>1</v>
      </c>
      <c r="Q179">
        <v>61.1</v>
      </c>
    </row>
    <row r="180" spans="1:17" x14ac:dyDescent="0.25">
      <c r="A180">
        <v>66</v>
      </c>
      <c r="B180">
        <v>31</v>
      </c>
      <c r="C180">
        <v>2</v>
      </c>
      <c r="D180">
        <v>11</v>
      </c>
      <c r="E180">
        <v>1</v>
      </c>
      <c r="F180">
        <v>6.0620000000000003</v>
      </c>
      <c r="G180">
        <v>1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1</v>
      </c>
      <c r="Q180">
        <v>36.433333330000004</v>
      </c>
    </row>
    <row r="181" spans="1:17" x14ac:dyDescent="0.25">
      <c r="A181">
        <v>66</v>
      </c>
      <c r="B181">
        <v>15</v>
      </c>
      <c r="C181">
        <v>3</v>
      </c>
      <c r="D181">
        <v>8</v>
      </c>
      <c r="E181">
        <v>5</v>
      </c>
      <c r="F181">
        <v>6.03</v>
      </c>
      <c r="G181">
        <v>1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0</v>
      </c>
      <c r="O181">
        <v>1</v>
      </c>
      <c r="P181">
        <v>1</v>
      </c>
      <c r="Q181">
        <v>138.1333333</v>
      </c>
    </row>
    <row r="182" spans="1:17" x14ac:dyDescent="0.25">
      <c r="A182">
        <v>46</v>
      </c>
      <c r="B182">
        <v>28</v>
      </c>
      <c r="C182">
        <v>2</v>
      </c>
      <c r="D182">
        <v>3</v>
      </c>
      <c r="E182">
        <v>3</v>
      </c>
      <c r="F182">
        <v>5.056</v>
      </c>
      <c r="G182">
        <v>1</v>
      </c>
      <c r="H182">
        <v>0</v>
      </c>
      <c r="I182">
        <v>0</v>
      </c>
      <c r="J182">
        <v>0</v>
      </c>
      <c r="K182">
        <v>0</v>
      </c>
      <c r="L182">
        <v>1</v>
      </c>
      <c r="M182">
        <v>1</v>
      </c>
      <c r="N182">
        <v>1</v>
      </c>
      <c r="O182">
        <v>1</v>
      </c>
      <c r="P182">
        <v>1</v>
      </c>
      <c r="Q182">
        <v>97.566666670000004</v>
      </c>
    </row>
    <row r="183" spans="1:17" x14ac:dyDescent="0.25">
      <c r="A183">
        <v>46</v>
      </c>
      <c r="B183">
        <v>50</v>
      </c>
      <c r="C183">
        <v>3</v>
      </c>
      <c r="D183">
        <v>19</v>
      </c>
      <c r="E183">
        <v>1</v>
      </c>
      <c r="F183">
        <v>6.1</v>
      </c>
      <c r="G183">
        <v>1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1</v>
      </c>
      <c r="Q183">
        <v>96.966666669999995</v>
      </c>
    </row>
    <row r="184" spans="1:17" x14ac:dyDescent="0.25">
      <c r="A184">
        <v>61</v>
      </c>
      <c r="B184">
        <v>50</v>
      </c>
      <c r="C184">
        <v>3</v>
      </c>
      <c r="D184">
        <v>15</v>
      </c>
      <c r="E184">
        <v>1</v>
      </c>
      <c r="F184">
        <v>6.1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1</v>
      </c>
      <c r="O184">
        <v>0</v>
      </c>
      <c r="P184">
        <v>1</v>
      </c>
      <c r="Q184">
        <v>142.46666669999999</v>
      </c>
    </row>
    <row r="185" spans="1:17" x14ac:dyDescent="0.25">
      <c r="A185">
        <v>56</v>
      </c>
      <c r="B185">
        <v>30</v>
      </c>
      <c r="C185">
        <v>4</v>
      </c>
      <c r="D185">
        <v>2</v>
      </c>
      <c r="E185">
        <v>2</v>
      </c>
      <c r="F185">
        <v>5.0599999999999996</v>
      </c>
      <c r="G185">
        <v>1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1</v>
      </c>
      <c r="O185">
        <v>1</v>
      </c>
      <c r="P185">
        <v>0</v>
      </c>
      <c r="Q185">
        <v>38.133333329999999</v>
      </c>
    </row>
    <row r="186" spans="1:17" x14ac:dyDescent="0.25">
      <c r="A186">
        <v>68</v>
      </c>
      <c r="B186">
        <v>53</v>
      </c>
      <c r="C186">
        <v>3</v>
      </c>
      <c r="D186">
        <v>16</v>
      </c>
      <c r="E186">
        <v>3</v>
      </c>
      <c r="F186">
        <v>6.1059999999999999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1</v>
      </c>
      <c r="N186">
        <v>1</v>
      </c>
      <c r="O186">
        <v>1</v>
      </c>
      <c r="P186">
        <v>1</v>
      </c>
      <c r="Q186">
        <v>20.833333329999999</v>
      </c>
    </row>
    <row r="187" spans="1:17" x14ac:dyDescent="0.25">
      <c r="A187">
        <v>56</v>
      </c>
      <c r="B187">
        <v>20</v>
      </c>
      <c r="C187">
        <v>1</v>
      </c>
      <c r="D187">
        <v>0</v>
      </c>
      <c r="E187">
        <v>5</v>
      </c>
      <c r="F187">
        <v>3.04</v>
      </c>
      <c r="G187">
        <v>0</v>
      </c>
      <c r="H187">
        <v>1</v>
      </c>
      <c r="I187">
        <v>0</v>
      </c>
      <c r="J187">
        <v>0</v>
      </c>
      <c r="K187">
        <v>0</v>
      </c>
      <c r="L187">
        <v>1</v>
      </c>
      <c r="M187">
        <v>1</v>
      </c>
      <c r="N187">
        <v>0</v>
      </c>
      <c r="O187">
        <v>1</v>
      </c>
      <c r="P187">
        <v>1</v>
      </c>
      <c r="Q187">
        <v>64.233333329999994</v>
      </c>
    </row>
    <row r="188" spans="1:17" x14ac:dyDescent="0.25">
      <c r="A188">
        <v>80</v>
      </c>
      <c r="B188">
        <v>50</v>
      </c>
      <c r="C188">
        <v>2</v>
      </c>
      <c r="D188">
        <v>2</v>
      </c>
      <c r="E188">
        <v>11</v>
      </c>
      <c r="F188">
        <v>5.0999999999999996</v>
      </c>
      <c r="G188">
        <v>1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1</v>
      </c>
      <c r="N188">
        <v>0</v>
      </c>
      <c r="O188">
        <v>0</v>
      </c>
      <c r="P188">
        <v>1</v>
      </c>
      <c r="Q188">
        <v>29</v>
      </c>
    </row>
    <row r="189" spans="1:17" x14ac:dyDescent="0.25">
      <c r="A189">
        <v>56</v>
      </c>
      <c r="B189">
        <v>27</v>
      </c>
      <c r="C189">
        <v>2</v>
      </c>
      <c r="D189">
        <v>0</v>
      </c>
      <c r="E189">
        <v>6</v>
      </c>
      <c r="F189">
        <v>4.0539999999999896</v>
      </c>
      <c r="G189">
        <v>1</v>
      </c>
      <c r="H189">
        <v>0</v>
      </c>
      <c r="I189">
        <v>0</v>
      </c>
      <c r="J189">
        <v>0</v>
      </c>
      <c r="K189">
        <v>0</v>
      </c>
      <c r="L189">
        <v>1</v>
      </c>
      <c r="M189">
        <v>1</v>
      </c>
      <c r="N189">
        <v>1</v>
      </c>
      <c r="O189">
        <v>0</v>
      </c>
      <c r="P189">
        <v>1</v>
      </c>
      <c r="Q189">
        <v>60.666666669999998</v>
      </c>
    </row>
    <row r="190" spans="1:17" x14ac:dyDescent="0.25">
      <c r="A190">
        <v>58</v>
      </c>
      <c r="B190">
        <v>11</v>
      </c>
      <c r="C190">
        <v>1</v>
      </c>
      <c r="D190">
        <v>0</v>
      </c>
      <c r="E190">
        <v>3</v>
      </c>
      <c r="F190">
        <v>2.0219999999999998</v>
      </c>
      <c r="G190">
        <v>1</v>
      </c>
      <c r="H190">
        <v>0</v>
      </c>
      <c r="I190">
        <v>0</v>
      </c>
      <c r="J190">
        <v>0</v>
      </c>
      <c r="K190">
        <v>0</v>
      </c>
      <c r="L190">
        <v>1</v>
      </c>
      <c r="M190">
        <v>1</v>
      </c>
      <c r="N190">
        <v>0</v>
      </c>
      <c r="O190">
        <v>1</v>
      </c>
      <c r="P190">
        <v>1</v>
      </c>
      <c r="Q190">
        <v>57.233333330000001</v>
      </c>
    </row>
    <row r="191" spans="1:17" x14ac:dyDescent="0.25">
      <c r="A191">
        <v>56</v>
      </c>
      <c r="B191">
        <v>42</v>
      </c>
      <c r="C191">
        <v>3</v>
      </c>
      <c r="D191">
        <v>19</v>
      </c>
      <c r="E191">
        <v>2</v>
      </c>
      <c r="F191">
        <v>6.0839999999999996</v>
      </c>
      <c r="G191">
        <v>1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0</v>
      </c>
      <c r="O191">
        <v>1</v>
      </c>
      <c r="P191">
        <v>1</v>
      </c>
      <c r="Q191">
        <v>43.2</v>
      </c>
    </row>
    <row r="192" spans="1:17" x14ac:dyDescent="0.25">
      <c r="A192">
        <v>55</v>
      </c>
      <c r="B192">
        <v>16</v>
      </c>
      <c r="C192">
        <v>1</v>
      </c>
      <c r="D192">
        <v>0</v>
      </c>
      <c r="E192">
        <v>2</v>
      </c>
      <c r="F192">
        <v>4.032</v>
      </c>
      <c r="G192">
        <v>1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1</v>
      </c>
      <c r="O192">
        <v>0</v>
      </c>
      <c r="P192">
        <v>0</v>
      </c>
      <c r="Q192">
        <v>22.466666669999999</v>
      </c>
    </row>
    <row r="193" spans="1:17" x14ac:dyDescent="0.25">
      <c r="A193">
        <v>48</v>
      </c>
      <c r="B193">
        <v>20</v>
      </c>
      <c r="C193">
        <v>1</v>
      </c>
      <c r="D193">
        <v>0</v>
      </c>
      <c r="E193">
        <v>2</v>
      </c>
      <c r="F193">
        <v>4.04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1</v>
      </c>
      <c r="O193">
        <v>0</v>
      </c>
      <c r="P193">
        <v>1</v>
      </c>
      <c r="Q193">
        <v>26.266666669999999</v>
      </c>
    </row>
    <row r="194" spans="1:17" x14ac:dyDescent="0.25">
      <c r="A194">
        <v>73</v>
      </c>
      <c r="B194">
        <v>11</v>
      </c>
      <c r="C194">
        <v>1</v>
      </c>
      <c r="D194">
        <v>0</v>
      </c>
      <c r="E194">
        <v>1</v>
      </c>
      <c r="F194">
        <v>2.0219999999999998</v>
      </c>
      <c r="G194">
        <v>1</v>
      </c>
      <c r="H194">
        <v>0</v>
      </c>
      <c r="I194">
        <v>0</v>
      </c>
      <c r="J194">
        <v>0</v>
      </c>
      <c r="K194">
        <v>0</v>
      </c>
      <c r="L194">
        <v>1</v>
      </c>
      <c r="M194">
        <v>1</v>
      </c>
      <c r="N194">
        <v>0</v>
      </c>
      <c r="O194">
        <v>1</v>
      </c>
      <c r="P194">
        <v>1</v>
      </c>
      <c r="Q194">
        <v>99.733333329999994</v>
      </c>
    </row>
    <row r="195" spans="1:17" x14ac:dyDescent="0.25">
      <c r="A195">
        <v>60</v>
      </c>
      <c r="B195">
        <v>15</v>
      </c>
      <c r="C195">
        <v>2</v>
      </c>
      <c r="D195">
        <v>1</v>
      </c>
      <c r="E195">
        <v>3</v>
      </c>
      <c r="F195">
        <v>5.03</v>
      </c>
      <c r="G195">
        <v>1</v>
      </c>
      <c r="H195">
        <v>0</v>
      </c>
      <c r="I195">
        <v>0</v>
      </c>
      <c r="J195">
        <v>0</v>
      </c>
      <c r="K195">
        <v>0</v>
      </c>
      <c r="L195">
        <v>1</v>
      </c>
      <c r="M195">
        <v>1</v>
      </c>
      <c r="N195">
        <v>0</v>
      </c>
      <c r="O195">
        <v>1</v>
      </c>
      <c r="P195">
        <v>1</v>
      </c>
      <c r="Q195">
        <v>63.5</v>
      </c>
    </row>
    <row r="196" spans="1:17" x14ac:dyDescent="0.25">
      <c r="A196">
        <v>69</v>
      </c>
      <c r="B196">
        <v>180</v>
      </c>
      <c r="C196">
        <v>3</v>
      </c>
      <c r="D196">
        <v>17</v>
      </c>
      <c r="E196">
        <v>5</v>
      </c>
      <c r="F196">
        <v>6.36</v>
      </c>
      <c r="G196">
        <v>1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1</v>
      </c>
      <c r="O196">
        <v>1</v>
      </c>
      <c r="P196">
        <v>1</v>
      </c>
      <c r="Q196">
        <v>96.9</v>
      </c>
    </row>
    <row r="197" spans="1:17" x14ac:dyDescent="0.25">
      <c r="A197">
        <v>57</v>
      </c>
      <c r="B197">
        <v>20</v>
      </c>
      <c r="C197">
        <v>1</v>
      </c>
      <c r="D197">
        <v>0</v>
      </c>
      <c r="E197">
        <v>3</v>
      </c>
      <c r="F197">
        <v>3.04</v>
      </c>
      <c r="G197">
        <v>0</v>
      </c>
      <c r="H197">
        <v>0</v>
      </c>
      <c r="I197">
        <v>1</v>
      </c>
      <c r="J197">
        <v>0</v>
      </c>
      <c r="K197">
        <v>0</v>
      </c>
      <c r="L197">
        <v>1</v>
      </c>
      <c r="M197">
        <v>1</v>
      </c>
      <c r="N197">
        <v>0</v>
      </c>
      <c r="O197">
        <v>1</v>
      </c>
      <c r="P197">
        <v>1</v>
      </c>
      <c r="Q197">
        <v>63</v>
      </c>
    </row>
    <row r="198" spans="1:17" x14ac:dyDescent="0.25">
      <c r="A198">
        <v>54</v>
      </c>
      <c r="B198">
        <v>18</v>
      </c>
      <c r="C198">
        <v>2</v>
      </c>
      <c r="D198">
        <v>1</v>
      </c>
      <c r="E198">
        <v>3</v>
      </c>
      <c r="F198">
        <v>4.0359999999999996</v>
      </c>
      <c r="G198">
        <v>0</v>
      </c>
      <c r="H198">
        <v>1</v>
      </c>
      <c r="I198">
        <v>0</v>
      </c>
      <c r="J198">
        <v>0</v>
      </c>
      <c r="K198">
        <v>0</v>
      </c>
      <c r="L198">
        <v>1</v>
      </c>
      <c r="M198">
        <v>1</v>
      </c>
      <c r="N198">
        <v>1</v>
      </c>
      <c r="O198">
        <v>1</v>
      </c>
      <c r="P198">
        <v>1</v>
      </c>
      <c r="Q198">
        <v>139.16666669999901</v>
      </c>
    </row>
    <row r="199" spans="1:17" x14ac:dyDescent="0.25">
      <c r="A199">
        <v>54</v>
      </c>
      <c r="B199">
        <v>19</v>
      </c>
      <c r="C199">
        <v>2</v>
      </c>
      <c r="D199">
        <v>1</v>
      </c>
      <c r="E199">
        <v>1</v>
      </c>
      <c r="F199">
        <v>5.0380000000000003</v>
      </c>
      <c r="G199">
        <v>1</v>
      </c>
      <c r="H199">
        <v>0</v>
      </c>
      <c r="I199">
        <v>0</v>
      </c>
      <c r="J199">
        <v>0</v>
      </c>
      <c r="K199">
        <v>0</v>
      </c>
      <c r="L199">
        <v>1</v>
      </c>
      <c r="M199">
        <v>1</v>
      </c>
      <c r="N199">
        <v>0</v>
      </c>
      <c r="O199">
        <v>1</v>
      </c>
      <c r="P199">
        <v>1</v>
      </c>
      <c r="Q199">
        <v>136.16666669999901</v>
      </c>
    </row>
    <row r="200" spans="1:17" x14ac:dyDescent="0.25">
      <c r="A200">
        <v>56</v>
      </c>
      <c r="B200">
        <v>47</v>
      </c>
      <c r="C200">
        <v>2</v>
      </c>
      <c r="D200">
        <v>5</v>
      </c>
      <c r="E200">
        <v>3</v>
      </c>
      <c r="F200">
        <v>6.0939999999999896</v>
      </c>
      <c r="G200">
        <v>1</v>
      </c>
      <c r="H200">
        <v>0</v>
      </c>
      <c r="I200">
        <v>0</v>
      </c>
      <c r="J200">
        <v>0</v>
      </c>
      <c r="K200">
        <v>0</v>
      </c>
      <c r="L200">
        <v>1</v>
      </c>
      <c r="M200">
        <v>1</v>
      </c>
      <c r="N200">
        <v>1</v>
      </c>
      <c r="O200">
        <v>1</v>
      </c>
      <c r="P200">
        <v>1</v>
      </c>
      <c r="Q200">
        <v>140.06666669999899</v>
      </c>
    </row>
    <row r="201" spans="1:17" x14ac:dyDescent="0.25">
      <c r="A201">
        <v>72</v>
      </c>
      <c r="B201">
        <v>21</v>
      </c>
      <c r="C201">
        <v>2</v>
      </c>
      <c r="D201">
        <v>0</v>
      </c>
      <c r="E201">
        <v>7</v>
      </c>
      <c r="F201">
        <v>4.0419999999999998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1</v>
      </c>
      <c r="M201">
        <v>1</v>
      </c>
      <c r="N201">
        <v>0</v>
      </c>
      <c r="O201">
        <v>0</v>
      </c>
      <c r="P201">
        <v>1</v>
      </c>
      <c r="Q201">
        <v>76.633333329999999</v>
      </c>
    </row>
    <row r="202" spans="1:17" x14ac:dyDescent="0.25">
      <c r="A202">
        <v>54</v>
      </c>
      <c r="B202">
        <v>40</v>
      </c>
      <c r="C202">
        <v>2</v>
      </c>
      <c r="D202">
        <v>1</v>
      </c>
      <c r="E202">
        <v>2</v>
      </c>
      <c r="F202">
        <v>4.08</v>
      </c>
      <c r="G202">
        <v>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0</v>
      </c>
      <c r="O202">
        <v>1</v>
      </c>
      <c r="P202">
        <v>1</v>
      </c>
      <c r="Q202">
        <v>6.266666667</v>
      </c>
    </row>
    <row r="203" spans="1:17" x14ac:dyDescent="0.25">
      <c r="A203">
        <v>58</v>
      </c>
      <c r="B203">
        <v>31</v>
      </c>
      <c r="C203">
        <v>2</v>
      </c>
      <c r="D203">
        <v>1</v>
      </c>
      <c r="E203">
        <v>1</v>
      </c>
      <c r="F203">
        <v>5.0620000000000003</v>
      </c>
      <c r="G203">
        <v>1</v>
      </c>
      <c r="H203">
        <v>0</v>
      </c>
      <c r="I203">
        <v>0</v>
      </c>
      <c r="J203">
        <v>0</v>
      </c>
      <c r="K203">
        <v>0</v>
      </c>
      <c r="L203">
        <v>1</v>
      </c>
      <c r="M203">
        <v>1</v>
      </c>
      <c r="N203">
        <v>0</v>
      </c>
      <c r="O203">
        <v>1</v>
      </c>
      <c r="P203">
        <v>1</v>
      </c>
      <c r="Q203">
        <v>102.0666667</v>
      </c>
    </row>
    <row r="204" spans="1:17" x14ac:dyDescent="0.25">
      <c r="A204">
        <v>34</v>
      </c>
      <c r="B204">
        <v>16</v>
      </c>
      <c r="C204">
        <v>1</v>
      </c>
      <c r="D204">
        <v>0</v>
      </c>
      <c r="E204">
        <v>3</v>
      </c>
      <c r="F204">
        <v>4.032</v>
      </c>
      <c r="G204">
        <v>1</v>
      </c>
      <c r="H204">
        <v>0</v>
      </c>
      <c r="I204">
        <v>0</v>
      </c>
      <c r="J204">
        <v>0</v>
      </c>
      <c r="K204">
        <v>0</v>
      </c>
      <c r="L204">
        <v>1</v>
      </c>
      <c r="M204">
        <v>1</v>
      </c>
      <c r="N204">
        <v>1</v>
      </c>
      <c r="O204">
        <v>0</v>
      </c>
      <c r="P204">
        <v>1</v>
      </c>
      <c r="Q204">
        <v>76.733333329999994</v>
      </c>
    </row>
    <row r="205" spans="1:17" x14ac:dyDescent="0.25">
      <c r="A205">
        <v>50</v>
      </c>
      <c r="B205">
        <v>42</v>
      </c>
      <c r="C205">
        <v>2</v>
      </c>
      <c r="D205">
        <v>2</v>
      </c>
      <c r="E205">
        <v>3</v>
      </c>
      <c r="F205">
        <v>4.0839999999999996</v>
      </c>
      <c r="G205">
        <v>1</v>
      </c>
      <c r="H205">
        <v>0</v>
      </c>
      <c r="I205">
        <v>0</v>
      </c>
      <c r="J205">
        <v>0</v>
      </c>
      <c r="K205">
        <v>0</v>
      </c>
      <c r="L205">
        <v>1</v>
      </c>
      <c r="M205">
        <v>1</v>
      </c>
      <c r="N205">
        <v>1</v>
      </c>
      <c r="O205">
        <v>1</v>
      </c>
      <c r="P205">
        <v>1</v>
      </c>
      <c r="Q205">
        <v>131.1</v>
      </c>
    </row>
    <row r="206" spans="1:17" x14ac:dyDescent="0.25">
      <c r="A206">
        <v>81</v>
      </c>
      <c r="B206">
        <v>21</v>
      </c>
      <c r="C206">
        <v>2</v>
      </c>
      <c r="D206">
        <v>15</v>
      </c>
      <c r="E206">
        <v>1</v>
      </c>
      <c r="F206">
        <v>5.0419999999999998</v>
      </c>
      <c r="G206">
        <v>0</v>
      </c>
      <c r="H206">
        <v>0</v>
      </c>
      <c r="I206">
        <v>1</v>
      </c>
      <c r="J206">
        <v>0</v>
      </c>
      <c r="K206">
        <v>0</v>
      </c>
      <c r="L206">
        <v>1</v>
      </c>
      <c r="M206">
        <v>1</v>
      </c>
      <c r="N206">
        <v>0</v>
      </c>
      <c r="O206">
        <v>1</v>
      </c>
      <c r="P206">
        <v>1</v>
      </c>
      <c r="Q206">
        <v>116.1</v>
      </c>
    </row>
    <row r="207" spans="1:17" x14ac:dyDescent="0.25">
      <c r="A207">
        <v>85</v>
      </c>
      <c r="B207">
        <v>20</v>
      </c>
      <c r="C207">
        <v>2</v>
      </c>
      <c r="D207">
        <v>4</v>
      </c>
      <c r="E207">
        <v>2</v>
      </c>
      <c r="F207">
        <v>6.04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</v>
      </c>
      <c r="P207">
        <v>1</v>
      </c>
      <c r="Q207">
        <v>55.933333330000004</v>
      </c>
    </row>
    <row r="208" spans="1:17" x14ac:dyDescent="0.25">
      <c r="A208">
        <v>63</v>
      </c>
      <c r="B208">
        <v>57</v>
      </c>
      <c r="C208">
        <v>2</v>
      </c>
      <c r="D208">
        <v>2</v>
      </c>
      <c r="E208">
        <v>3</v>
      </c>
      <c r="F208">
        <v>4.1139999999999999</v>
      </c>
      <c r="G208">
        <v>0</v>
      </c>
      <c r="H208">
        <v>0</v>
      </c>
      <c r="I208">
        <v>1</v>
      </c>
      <c r="J208">
        <v>0</v>
      </c>
      <c r="K208">
        <v>0</v>
      </c>
      <c r="L208">
        <v>1</v>
      </c>
      <c r="M208">
        <v>1</v>
      </c>
      <c r="N208">
        <v>0</v>
      </c>
      <c r="O208">
        <v>1</v>
      </c>
      <c r="P208">
        <v>1</v>
      </c>
      <c r="Q208">
        <v>85.133333329999999</v>
      </c>
    </row>
    <row r="209" spans="1:17" x14ac:dyDescent="0.25">
      <c r="A209">
        <v>69</v>
      </c>
      <c r="B209">
        <v>20</v>
      </c>
      <c r="C209">
        <v>2</v>
      </c>
      <c r="D209">
        <v>2</v>
      </c>
      <c r="E209">
        <v>5</v>
      </c>
      <c r="F209">
        <v>5.04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1</v>
      </c>
      <c r="O209">
        <v>1</v>
      </c>
      <c r="P209">
        <v>0</v>
      </c>
      <c r="Q209">
        <v>45.5</v>
      </c>
    </row>
    <row r="210" spans="1:17" x14ac:dyDescent="0.25">
      <c r="A210">
        <v>82</v>
      </c>
      <c r="B210">
        <v>15</v>
      </c>
      <c r="C210">
        <v>2</v>
      </c>
      <c r="D210">
        <v>3</v>
      </c>
      <c r="E210">
        <v>3</v>
      </c>
      <c r="F210">
        <v>4.03</v>
      </c>
      <c r="G210">
        <v>0</v>
      </c>
      <c r="H210">
        <v>1</v>
      </c>
      <c r="I210">
        <v>0</v>
      </c>
      <c r="J210">
        <v>0</v>
      </c>
      <c r="K210">
        <v>0</v>
      </c>
      <c r="L210">
        <v>1</v>
      </c>
      <c r="M210">
        <v>1</v>
      </c>
      <c r="N210">
        <v>0</v>
      </c>
      <c r="O210">
        <v>1</v>
      </c>
      <c r="P210">
        <v>1</v>
      </c>
      <c r="Q210">
        <v>90.566666670000004</v>
      </c>
    </row>
    <row r="211" spans="1:17" x14ac:dyDescent="0.25">
      <c r="A211">
        <v>57</v>
      </c>
      <c r="B211">
        <v>25</v>
      </c>
      <c r="C211">
        <v>2</v>
      </c>
      <c r="D211">
        <v>1</v>
      </c>
      <c r="E211">
        <v>1</v>
      </c>
      <c r="F211">
        <v>5.05</v>
      </c>
      <c r="G211">
        <v>1</v>
      </c>
      <c r="H211">
        <v>0</v>
      </c>
      <c r="I211">
        <v>0</v>
      </c>
      <c r="J211">
        <v>0</v>
      </c>
      <c r="K211">
        <v>0</v>
      </c>
      <c r="L211">
        <v>1</v>
      </c>
      <c r="M211">
        <v>1</v>
      </c>
      <c r="N211">
        <v>1</v>
      </c>
      <c r="O211">
        <v>0</v>
      </c>
      <c r="P211">
        <v>1</v>
      </c>
      <c r="Q211">
        <v>135.16666669999901</v>
      </c>
    </row>
    <row r="212" spans="1:17" x14ac:dyDescent="0.25">
      <c r="A212">
        <v>50</v>
      </c>
      <c r="B212">
        <v>15</v>
      </c>
      <c r="C212">
        <v>1</v>
      </c>
      <c r="D212">
        <v>0</v>
      </c>
      <c r="E212">
        <v>1</v>
      </c>
      <c r="F212">
        <v>3.03</v>
      </c>
      <c r="G212">
        <v>0</v>
      </c>
      <c r="H212">
        <v>0</v>
      </c>
      <c r="I212">
        <v>0</v>
      </c>
      <c r="J212">
        <v>1</v>
      </c>
      <c r="K212">
        <v>0</v>
      </c>
      <c r="L212">
        <v>1</v>
      </c>
      <c r="M212">
        <v>1</v>
      </c>
      <c r="N212">
        <v>0</v>
      </c>
      <c r="O212">
        <v>1</v>
      </c>
      <c r="P212">
        <v>0</v>
      </c>
      <c r="Q212">
        <v>112.13333329999899</v>
      </c>
    </row>
    <row r="213" spans="1:17" x14ac:dyDescent="0.25">
      <c r="A213">
        <v>56</v>
      </c>
      <c r="B213">
        <v>26</v>
      </c>
      <c r="C213">
        <v>2</v>
      </c>
      <c r="D213">
        <v>1</v>
      </c>
      <c r="E213">
        <v>5</v>
      </c>
      <c r="F213">
        <v>5.0519999999999996</v>
      </c>
      <c r="G213">
        <v>1</v>
      </c>
      <c r="H213">
        <v>0</v>
      </c>
      <c r="I213">
        <v>0</v>
      </c>
      <c r="J213">
        <v>0</v>
      </c>
      <c r="K213">
        <v>0</v>
      </c>
      <c r="L213">
        <v>1</v>
      </c>
      <c r="M213">
        <v>1</v>
      </c>
      <c r="N213">
        <v>1</v>
      </c>
      <c r="O213">
        <v>1</v>
      </c>
      <c r="P213">
        <v>1</v>
      </c>
      <c r="Q213">
        <v>100.833333299999</v>
      </c>
    </row>
    <row r="214" spans="1:17" x14ac:dyDescent="0.25">
      <c r="A214">
        <v>71</v>
      </c>
      <c r="B214">
        <v>17</v>
      </c>
      <c r="C214">
        <v>2</v>
      </c>
      <c r="D214">
        <v>1</v>
      </c>
      <c r="E214">
        <v>4</v>
      </c>
      <c r="F214">
        <v>4.0339999999999998</v>
      </c>
      <c r="G214">
        <v>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0</v>
      </c>
      <c r="O214">
        <v>1</v>
      </c>
      <c r="P214">
        <v>0</v>
      </c>
      <c r="Q214">
        <v>103.4666667</v>
      </c>
    </row>
    <row r="215" spans="1:17" x14ac:dyDescent="0.25">
      <c r="A215">
        <v>61</v>
      </c>
      <c r="B215">
        <v>26</v>
      </c>
      <c r="C215">
        <v>2</v>
      </c>
      <c r="D215">
        <v>0</v>
      </c>
      <c r="E215">
        <v>2</v>
      </c>
      <c r="F215">
        <v>3.052</v>
      </c>
      <c r="G215">
        <v>1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1</v>
      </c>
      <c r="N215">
        <v>0</v>
      </c>
      <c r="O215">
        <v>1</v>
      </c>
      <c r="P215">
        <v>1</v>
      </c>
      <c r="Q215">
        <v>45.033333329999998</v>
      </c>
    </row>
    <row r="216" spans="1:17" x14ac:dyDescent="0.25">
      <c r="A216">
        <v>40</v>
      </c>
      <c r="B216">
        <v>23</v>
      </c>
      <c r="C216">
        <v>2</v>
      </c>
      <c r="D216">
        <v>1</v>
      </c>
      <c r="E216">
        <v>1</v>
      </c>
      <c r="F216">
        <v>4.0460000000000003</v>
      </c>
      <c r="G216">
        <v>1</v>
      </c>
      <c r="H216">
        <v>0</v>
      </c>
      <c r="I216">
        <v>0</v>
      </c>
      <c r="J216">
        <v>0</v>
      </c>
      <c r="K216">
        <v>0</v>
      </c>
      <c r="L216">
        <v>1</v>
      </c>
      <c r="M216">
        <v>1</v>
      </c>
      <c r="N216">
        <v>1</v>
      </c>
      <c r="O216">
        <v>1</v>
      </c>
      <c r="P216">
        <v>1</v>
      </c>
      <c r="Q216">
        <v>132.53333329999899</v>
      </c>
    </row>
    <row r="217" spans="1:17" x14ac:dyDescent="0.25">
      <c r="A217">
        <v>56</v>
      </c>
      <c r="B217">
        <v>24</v>
      </c>
      <c r="C217">
        <v>2</v>
      </c>
      <c r="D217">
        <v>0</v>
      </c>
      <c r="E217">
        <v>4</v>
      </c>
      <c r="F217">
        <v>4.048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1</v>
      </c>
      <c r="M217">
        <v>1</v>
      </c>
      <c r="N217">
        <v>1</v>
      </c>
      <c r="O217">
        <v>0</v>
      </c>
      <c r="P217">
        <v>0</v>
      </c>
      <c r="Q217">
        <v>72.266666670000006</v>
      </c>
    </row>
    <row r="218" spans="1:17" x14ac:dyDescent="0.25">
      <c r="A218">
        <v>54</v>
      </c>
      <c r="B218">
        <v>35</v>
      </c>
      <c r="C218">
        <v>2</v>
      </c>
      <c r="D218">
        <v>2</v>
      </c>
      <c r="E218">
        <v>3</v>
      </c>
      <c r="F218">
        <v>3.07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1</v>
      </c>
      <c r="M218">
        <v>1</v>
      </c>
      <c r="N218">
        <v>1</v>
      </c>
      <c r="O218">
        <v>1</v>
      </c>
      <c r="P218">
        <v>1</v>
      </c>
      <c r="Q218">
        <v>112.5666667</v>
      </c>
    </row>
    <row r="219" spans="1:17" x14ac:dyDescent="0.25">
      <c r="A219">
        <v>63</v>
      </c>
      <c r="B219">
        <v>16</v>
      </c>
      <c r="C219">
        <v>1</v>
      </c>
      <c r="D219">
        <v>0</v>
      </c>
      <c r="E219">
        <v>5</v>
      </c>
      <c r="F219">
        <v>2.032</v>
      </c>
      <c r="G219">
        <v>1</v>
      </c>
      <c r="H219">
        <v>0</v>
      </c>
      <c r="I219">
        <v>0</v>
      </c>
      <c r="J219">
        <v>0</v>
      </c>
      <c r="K219">
        <v>0</v>
      </c>
      <c r="L219">
        <v>1</v>
      </c>
      <c r="M219">
        <v>1</v>
      </c>
      <c r="N219">
        <v>0</v>
      </c>
      <c r="O219">
        <v>1</v>
      </c>
      <c r="P219">
        <v>0</v>
      </c>
      <c r="Q219">
        <v>50.066666669999996</v>
      </c>
    </row>
    <row r="220" spans="1:17" x14ac:dyDescent="0.25">
      <c r="A220">
        <v>54</v>
      </c>
      <c r="B220">
        <v>23</v>
      </c>
      <c r="C220">
        <v>2</v>
      </c>
      <c r="D220">
        <v>0</v>
      </c>
      <c r="E220">
        <v>3</v>
      </c>
      <c r="F220">
        <v>4.0460000000000003</v>
      </c>
      <c r="G220">
        <v>1</v>
      </c>
      <c r="H220">
        <v>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1</v>
      </c>
      <c r="P220">
        <v>1</v>
      </c>
      <c r="Q220">
        <v>62.8</v>
      </c>
    </row>
    <row r="221" spans="1:17" x14ac:dyDescent="0.25">
      <c r="A221">
        <v>61</v>
      </c>
      <c r="B221">
        <v>100</v>
      </c>
      <c r="C221">
        <v>3</v>
      </c>
      <c r="D221">
        <v>6</v>
      </c>
      <c r="E221">
        <v>4</v>
      </c>
      <c r="F221">
        <v>6.2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1</v>
      </c>
      <c r="O221">
        <v>1</v>
      </c>
      <c r="P221">
        <v>1</v>
      </c>
      <c r="Q221">
        <v>43.133333329999999</v>
      </c>
    </row>
    <row r="222" spans="1:17" x14ac:dyDescent="0.25">
      <c r="A222">
        <v>56</v>
      </c>
      <c r="B222">
        <v>18</v>
      </c>
      <c r="C222">
        <v>1</v>
      </c>
      <c r="D222">
        <v>0</v>
      </c>
      <c r="E222">
        <v>4</v>
      </c>
      <c r="F222">
        <v>3.036</v>
      </c>
      <c r="G222">
        <v>1</v>
      </c>
      <c r="H222">
        <v>0</v>
      </c>
      <c r="I222">
        <v>0</v>
      </c>
      <c r="J222">
        <v>0</v>
      </c>
      <c r="K222">
        <v>0</v>
      </c>
      <c r="L222">
        <v>1</v>
      </c>
      <c r="M222">
        <v>1</v>
      </c>
      <c r="N222">
        <v>0</v>
      </c>
      <c r="O222">
        <v>1</v>
      </c>
      <c r="P222">
        <v>1</v>
      </c>
      <c r="Q222">
        <v>99.333333330000002</v>
      </c>
    </row>
    <row r="223" spans="1:17" x14ac:dyDescent="0.25">
      <c r="A223">
        <v>49</v>
      </c>
      <c r="B223">
        <v>50</v>
      </c>
      <c r="C223">
        <v>2</v>
      </c>
      <c r="D223">
        <v>2</v>
      </c>
      <c r="E223">
        <v>1</v>
      </c>
      <c r="F223">
        <v>4.0999999999999996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1</v>
      </c>
      <c r="M223">
        <v>1</v>
      </c>
      <c r="N223">
        <v>1</v>
      </c>
      <c r="O223">
        <v>1</v>
      </c>
      <c r="P223">
        <v>1</v>
      </c>
      <c r="Q223">
        <v>134.5</v>
      </c>
    </row>
    <row r="224" spans="1:17" x14ac:dyDescent="0.25">
      <c r="A224">
        <v>60</v>
      </c>
      <c r="B224">
        <v>16</v>
      </c>
      <c r="C224">
        <v>1</v>
      </c>
      <c r="D224">
        <v>0</v>
      </c>
      <c r="E224">
        <v>1</v>
      </c>
      <c r="F224">
        <v>4.032</v>
      </c>
      <c r="G224">
        <v>1</v>
      </c>
      <c r="H224">
        <v>0</v>
      </c>
      <c r="I224">
        <v>0</v>
      </c>
      <c r="J224">
        <v>0</v>
      </c>
      <c r="K224">
        <v>0</v>
      </c>
      <c r="L224">
        <v>1</v>
      </c>
      <c r="M224">
        <v>1</v>
      </c>
      <c r="N224">
        <v>0</v>
      </c>
      <c r="O224">
        <v>1</v>
      </c>
      <c r="P224">
        <v>1</v>
      </c>
      <c r="Q224">
        <v>132.7666667</v>
      </c>
    </row>
    <row r="225" spans="1:17" x14ac:dyDescent="0.25">
      <c r="A225">
        <v>60</v>
      </c>
      <c r="B225">
        <v>21</v>
      </c>
      <c r="C225">
        <v>1</v>
      </c>
      <c r="D225">
        <v>0</v>
      </c>
      <c r="E225">
        <v>10</v>
      </c>
      <c r="F225">
        <v>3.0419999999999998</v>
      </c>
      <c r="G225">
        <v>1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1</v>
      </c>
      <c r="P225">
        <v>1</v>
      </c>
      <c r="Q225">
        <v>120.5666667</v>
      </c>
    </row>
    <row r="226" spans="1:17" x14ac:dyDescent="0.25">
      <c r="A226">
        <v>58</v>
      </c>
      <c r="B226">
        <v>13</v>
      </c>
      <c r="C226">
        <v>3</v>
      </c>
      <c r="D226">
        <v>17</v>
      </c>
      <c r="E226">
        <v>2</v>
      </c>
      <c r="F226">
        <v>6.0259999999999998</v>
      </c>
      <c r="G226">
        <v>1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1</v>
      </c>
      <c r="O226">
        <v>0</v>
      </c>
      <c r="P226">
        <v>1</v>
      </c>
      <c r="Q226">
        <v>39.299999999999997</v>
      </c>
    </row>
    <row r="227" spans="1:17" x14ac:dyDescent="0.25">
      <c r="A227">
        <v>87</v>
      </c>
      <c r="B227">
        <v>26</v>
      </c>
      <c r="C227">
        <v>2</v>
      </c>
      <c r="D227">
        <v>2</v>
      </c>
      <c r="E227">
        <v>1</v>
      </c>
      <c r="F227">
        <v>5.0519999999999996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0</v>
      </c>
      <c r="O227">
        <v>1</v>
      </c>
      <c r="P227">
        <v>0</v>
      </c>
      <c r="Q227">
        <v>28.6</v>
      </c>
    </row>
    <row r="228" spans="1:17" x14ac:dyDescent="0.25">
      <c r="A228">
        <v>33</v>
      </c>
      <c r="B228">
        <v>70</v>
      </c>
      <c r="C228">
        <v>2</v>
      </c>
      <c r="D228">
        <v>4</v>
      </c>
      <c r="E228">
        <v>1</v>
      </c>
      <c r="F228">
        <v>5.14</v>
      </c>
      <c r="G228">
        <v>1</v>
      </c>
      <c r="H228">
        <v>0</v>
      </c>
      <c r="I228">
        <v>0</v>
      </c>
      <c r="J228">
        <v>0</v>
      </c>
      <c r="K228">
        <v>0</v>
      </c>
      <c r="L228">
        <v>1</v>
      </c>
      <c r="M228">
        <v>1</v>
      </c>
      <c r="N228">
        <v>1</v>
      </c>
      <c r="O228">
        <v>1</v>
      </c>
      <c r="P228">
        <v>1</v>
      </c>
      <c r="Q228">
        <v>43.866666670000001</v>
      </c>
    </row>
    <row r="229" spans="1:17" x14ac:dyDescent="0.25">
      <c r="A229">
        <v>58</v>
      </c>
      <c r="B229">
        <v>13</v>
      </c>
      <c r="C229">
        <v>1</v>
      </c>
      <c r="D229">
        <v>0</v>
      </c>
      <c r="E229">
        <v>3</v>
      </c>
      <c r="F229">
        <v>4.0259999999999998</v>
      </c>
      <c r="G229">
        <v>1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</v>
      </c>
      <c r="O229">
        <v>0</v>
      </c>
      <c r="P229">
        <v>0</v>
      </c>
      <c r="Q229">
        <v>105.6</v>
      </c>
    </row>
    <row r="230" spans="1:17" x14ac:dyDescent="0.25">
      <c r="A230">
        <v>67</v>
      </c>
      <c r="B230">
        <v>39</v>
      </c>
      <c r="C230">
        <v>2</v>
      </c>
      <c r="D230">
        <v>3</v>
      </c>
      <c r="E230">
        <v>1</v>
      </c>
      <c r="F230">
        <v>5.0780000000000003</v>
      </c>
      <c r="G230">
        <v>1</v>
      </c>
      <c r="H230">
        <v>0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1</v>
      </c>
      <c r="O230">
        <v>1</v>
      </c>
      <c r="P230">
        <v>1</v>
      </c>
      <c r="Q230">
        <v>131.2666667</v>
      </c>
    </row>
    <row r="231" spans="1:17" x14ac:dyDescent="0.25">
      <c r="A231">
        <v>61</v>
      </c>
      <c r="B231">
        <v>15</v>
      </c>
      <c r="C231">
        <v>1</v>
      </c>
      <c r="D231">
        <v>0</v>
      </c>
      <c r="E231">
        <v>4</v>
      </c>
      <c r="F231">
        <v>2.0299999999999998</v>
      </c>
      <c r="G231">
        <v>0</v>
      </c>
      <c r="H231">
        <v>0</v>
      </c>
      <c r="I231">
        <v>1</v>
      </c>
      <c r="J231">
        <v>0</v>
      </c>
      <c r="K231">
        <v>0</v>
      </c>
      <c r="L231">
        <v>1</v>
      </c>
      <c r="M231">
        <v>1</v>
      </c>
      <c r="N231">
        <v>0</v>
      </c>
      <c r="O231">
        <v>1</v>
      </c>
      <c r="P231">
        <v>1</v>
      </c>
      <c r="Q231">
        <v>88.233333329999994</v>
      </c>
    </row>
    <row r="232" spans="1:17" x14ac:dyDescent="0.25">
      <c r="A232">
        <v>76</v>
      </c>
      <c r="B232">
        <v>17</v>
      </c>
      <c r="C232">
        <v>1</v>
      </c>
      <c r="D232">
        <v>0</v>
      </c>
      <c r="E232">
        <v>1</v>
      </c>
      <c r="F232">
        <v>3.0339999999999998</v>
      </c>
      <c r="G232">
        <v>0</v>
      </c>
      <c r="H232">
        <v>0</v>
      </c>
      <c r="I232">
        <v>0</v>
      </c>
      <c r="J232">
        <v>1</v>
      </c>
      <c r="K232">
        <v>0</v>
      </c>
      <c r="L232">
        <v>1</v>
      </c>
      <c r="M232">
        <v>1</v>
      </c>
      <c r="N232">
        <v>0</v>
      </c>
      <c r="O232">
        <v>1</v>
      </c>
      <c r="P232">
        <v>1</v>
      </c>
      <c r="Q232">
        <v>107.4666667</v>
      </c>
    </row>
    <row r="233" spans="1:17" x14ac:dyDescent="0.25">
      <c r="A233">
        <v>59</v>
      </c>
      <c r="B233">
        <v>11</v>
      </c>
      <c r="C233">
        <v>0</v>
      </c>
      <c r="D233">
        <v>0</v>
      </c>
      <c r="E233">
        <v>2</v>
      </c>
      <c r="F233">
        <v>1.022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1</v>
      </c>
      <c r="M233">
        <v>1</v>
      </c>
      <c r="N233">
        <v>0</v>
      </c>
      <c r="O233">
        <v>0</v>
      </c>
      <c r="P233">
        <v>1</v>
      </c>
      <c r="Q233">
        <v>27.4</v>
      </c>
    </row>
    <row r="234" spans="1:17" x14ac:dyDescent="0.25">
      <c r="A234">
        <v>54</v>
      </c>
      <c r="B234">
        <v>80</v>
      </c>
      <c r="C234">
        <v>3</v>
      </c>
      <c r="D234">
        <v>3</v>
      </c>
      <c r="E234">
        <v>2</v>
      </c>
      <c r="F234">
        <v>5.16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1</v>
      </c>
      <c r="O234">
        <v>1</v>
      </c>
      <c r="P234">
        <v>1</v>
      </c>
      <c r="Q234">
        <v>111.1</v>
      </c>
    </row>
    <row r="235" spans="1:17" x14ac:dyDescent="0.25">
      <c r="A235">
        <v>54</v>
      </c>
      <c r="B235">
        <v>20</v>
      </c>
      <c r="C235">
        <v>1</v>
      </c>
      <c r="D235">
        <v>0</v>
      </c>
      <c r="E235">
        <v>4</v>
      </c>
      <c r="F235">
        <v>4.04</v>
      </c>
      <c r="G235">
        <v>1</v>
      </c>
      <c r="H235">
        <v>0</v>
      </c>
      <c r="I235">
        <v>0</v>
      </c>
      <c r="J235">
        <v>0</v>
      </c>
      <c r="K235">
        <v>0</v>
      </c>
      <c r="L235">
        <v>1</v>
      </c>
      <c r="M235">
        <v>1</v>
      </c>
      <c r="N235">
        <v>0</v>
      </c>
      <c r="O235">
        <v>1</v>
      </c>
      <c r="P235">
        <v>1</v>
      </c>
      <c r="Q235">
        <v>130.69999999999999</v>
      </c>
    </row>
    <row r="236" spans="1:17" x14ac:dyDescent="0.25">
      <c r="A236">
        <v>54</v>
      </c>
      <c r="B236">
        <v>25</v>
      </c>
      <c r="C236">
        <v>2</v>
      </c>
      <c r="D236">
        <v>0</v>
      </c>
      <c r="E236">
        <v>1</v>
      </c>
      <c r="F236">
        <v>4.05</v>
      </c>
      <c r="G236">
        <v>1</v>
      </c>
      <c r="H236">
        <v>0</v>
      </c>
      <c r="I236">
        <v>0</v>
      </c>
      <c r="J236">
        <v>0</v>
      </c>
      <c r="K236">
        <v>0</v>
      </c>
      <c r="L236">
        <v>1</v>
      </c>
      <c r="M236">
        <v>1</v>
      </c>
      <c r="N236">
        <v>1</v>
      </c>
      <c r="O236">
        <v>0</v>
      </c>
      <c r="P236">
        <v>1</v>
      </c>
      <c r="Q236">
        <v>130.43333329999999</v>
      </c>
    </row>
    <row r="237" spans="1:17" x14ac:dyDescent="0.25">
      <c r="A237">
        <v>74</v>
      </c>
      <c r="B237">
        <v>23</v>
      </c>
      <c r="C237">
        <v>2</v>
      </c>
      <c r="D237">
        <v>3</v>
      </c>
      <c r="E237">
        <v>1</v>
      </c>
      <c r="F237">
        <v>4.0460000000000003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1</v>
      </c>
      <c r="P237">
        <v>1</v>
      </c>
      <c r="Q237">
        <v>132.30000000000001</v>
      </c>
    </row>
    <row r="238" spans="1:17" x14ac:dyDescent="0.25">
      <c r="A238">
        <v>33</v>
      </c>
      <c r="B238">
        <v>22</v>
      </c>
      <c r="C238">
        <v>2</v>
      </c>
      <c r="D238">
        <v>0</v>
      </c>
      <c r="E238">
        <v>1</v>
      </c>
      <c r="F238">
        <v>4.0439999999999996</v>
      </c>
      <c r="G238">
        <v>1</v>
      </c>
      <c r="H238">
        <v>0</v>
      </c>
      <c r="I238">
        <v>0</v>
      </c>
      <c r="J238">
        <v>0</v>
      </c>
      <c r="K238">
        <v>0</v>
      </c>
      <c r="L238">
        <v>1</v>
      </c>
      <c r="M238">
        <v>1</v>
      </c>
      <c r="N238">
        <v>1</v>
      </c>
      <c r="O238">
        <v>1</v>
      </c>
      <c r="P238">
        <v>1</v>
      </c>
      <c r="Q238">
        <v>132.7666667</v>
      </c>
    </row>
    <row r="239" spans="1:17" x14ac:dyDescent="0.25">
      <c r="A239">
        <v>51</v>
      </c>
      <c r="B239">
        <v>13</v>
      </c>
      <c r="C239">
        <v>1</v>
      </c>
      <c r="D239">
        <v>0</v>
      </c>
      <c r="E239">
        <v>4</v>
      </c>
      <c r="F239">
        <v>4.0259999999999998</v>
      </c>
      <c r="G239">
        <v>1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1</v>
      </c>
      <c r="N239">
        <v>0</v>
      </c>
      <c r="O239">
        <v>1</v>
      </c>
      <c r="P239">
        <v>1</v>
      </c>
      <c r="Q239">
        <v>94.566666670000004</v>
      </c>
    </row>
    <row r="240" spans="1:17" x14ac:dyDescent="0.25">
      <c r="A240">
        <v>54</v>
      </c>
      <c r="B240">
        <v>19</v>
      </c>
      <c r="C240">
        <v>1</v>
      </c>
      <c r="D240">
        <v>0</v>
      </c>
      <c r="E240">
        <v>2</v>
      </c>
      <c r="F240">
        <v>4.0380000000000003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1</v>
      </c>
      <c r="O240">
        <v>0</v>
      </c>
      <c r="P240">
        <v>1</v>
      </c>
      <c r="Q240">
        <v>36.4</v>
      </c>
    </row>
    <row r="241" spans="1:17" x14ac:dyDescent="0.25">
      <c r="A241">
        <v>39</v>
      </c>
      <c r="B241">
        <v>16</v>
      </c>
      <c r="C241">
        <v>2</v>
      </c>
      <c r="D241">
        <v>1</v>
      </c>
      <c r="E241">
        <v>2</v>
      </c>
      <c r="F241">
        <v>5.032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1</v>
      </c>
      <c r="O241">
        <v>0</v>
      </c>
      <c r="P241">
        <v>1</v>
      </c>
      <c r="Q241">
        <v>24.866666670000001</v>
      </c>
    </row>
    <row r="242" spans="1:17" x14ac:dyDescent="0.25">
      <c r="A242">
        <v>49</v>
      </c>
      <c r="B242">
        <v>21</v>
      </c>
      <c r="C242">
        <v>2</v>
      </c>
      <c r="D242">
        <v>2</v>
      </c>
      <c r="E242">
        <v>2</v>
      </c>
      <c r="F242">
        <v>5.0419999999999998</v>
      </c>
      <c r="G242">
        <v>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1</v>
      </c>
      <c r="O242">
        <v>1</v>
      </c>
      <c r="P242">
        <v>1</v>
      </c>
      <c r="Q242">
        <v>74.466666669999995</v>
      </c>
    </row>
    <row r="243" spans="1:17" x14ac:dyDescent="0.25">
      <c r="A243">
        <v>38</v>
      </c>
      <c r="B243">
        <v>22</v>
      </c>
      <c r="C243">
        <v>2</v>
      </c>
      <c r="D243">
        <v>3</v>
      </c>
      <c r="E243">
        <v>5</v>
      </c>
      <c r="F243">
        <v>5.0439999999999996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1</v>
      </c>
      <c r="M243">
        <v>1</v>
      </c>
      <c r="N243">
        <v>1</v>
      </c>
      <c r="O243">
        <v>1</v>
      </c>
      <c r="P243">
        <v>1</v>
      </c>
      <c r="Q243">
        <v>82.633333329999999</v>
      </c>
    </row>
    <row r="244" spans="1:17" x14ac:dyDescent="0.25">
      <c r="A244">
        <v>60</v>
      </c>
      <c r="B244">
        <v>50</v>
      </c>
      <c r="C244">
        <v>3</v>
      </c>
      <c r="D244">
        <v>7</v>
      </c>
      <c r="E244">
        <v>4</v>
      </c>
      <c r="F244">
        <v>6.1</v>
      </c>
      <c r="G244">
        <v>0</v>
      </c>
      <c r="H244">
        <v>1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1</v>
      </c>
      <c r="O244">
        <v>1</v>
      </c>
      <c r="P244">
        <v>1</v>
      </c>
      <c r="Q244">
        <v>36.766666669999999</v>
      </c>
    </row>
    <row r="245" spans="1:17" x14ac:dyDescent="0.25">
      <c r="A245">
        <v>57</v>
      </c>
      <c r="B245">
        <v>32</v>
      </c>
      <c r="C245">
        <v>2</v>
      </c>
      <c r="D245">
        <v>0</v>
      </c>
      <c r="E245">
        <v>1</v>
      </c>
      <c r="F245">
        <v>4.0640000000000001</v>
      </c>
      <c r="G245">
        <v>1</v>
      </c>
      <c r="H245">
        <v>0</v>
      </c>
      <c r="I245">
        <v>0</v>
      </c>
      <c r="J245">
        <v>0</v>
      </c>
      <c r="K245">
        <v>0</v>
      </c>
      <c r="L245">
        <v>1</v>
      </c>
      <c r="M245">
        <v>1</v>
      </c>
      <c r="N245">
        <v>1</v>
      </c>
      <c r="O245">
        <v>1</v>
      </c>
      <c r="P245">
        <v>1</v>
      </c>
      <c r="Q245">
        <v>89.966666669999995</v>
      </c>
    </row>
    <row r="246" spans="1:17" x14ac:dyDescent="0.25">
      <c r="A246">
        <v>57</v>
      </c>
      <c r="B246">
        <v>15</v>
      </c>
      <c r="C246">
        <v>1</v>
      </c>
      <c r="D246">
        <v>0</v>
      </c>
      <c r="E246">
        <v>1</v>
      </c>
      <c r="F246">
        <v>3.03</v>
      </c>
      <c r="G246">
        <v>1</v>
      </c>
      <c r="H246">
        <v>0</v>
      </c>
      <c r="I246">
        <v>0</v>
      </c>
      <c r="J246">
        <v>0</v>
      </c>
      <c r="K246">
        <v>0</v>
      </c>
      <c r="L246">
        <v>1</v>
      </c>
      <c r="M246">
        <v>1</v>
      </c>
      <c r="N246">
        <v>0</v>
      </c>
      <c r="O246">
        <v>0</v>
      </c>
      <c r="P246">
        <v>1</v>
      </c>
      <c r="Q246">
        <v>86.9</v>
      </c>
    </row>
    <row r="247" spans="1:17" x14ac:dyDescent="0.25">
      <c r="A247">
        <v>41</v>
      </c>
      <c r="B247">
        <v>10</v>
      </c>
      <c r="C247">
        <v>1</v>
      </c>
      <c r="D247">
        <v>0</v>
      </c>
      <c r="E247">
        <v>1</v>
      </c>
      <c r="F247">
        <v>4.0199999999999996</v>
      </c>
      <c r="G247">
        <v>1</v>
      </c>
      <c r="H247">
        <v>0</v>
      </c>
      <c r="I247">
        <v>0</v>
      </c>
      <c r="J247">
        <v>0</v>
      </c>
      <c r="K247">
        <v>0</v>
      </c>
      <c r="L247">
        <v>1</v>
      </c>
      <c r="M247">
        <v>1</v>
      </c>
      <c r="N247">
        <v>1</v>
      </c>
      <c r="O247">
        <v>1</v>
      </c>
      <c r="P247">
        <v>0</v>
      </c>
      <c r="Q247">
        <v>90.566666670000004</v>
      </c>
    </row>
    <row r="248" spans="1:17" x14ac:dyDescent="0.25">
      <c r="A248">
        <v>81</v>
      </c>
      <c r="B248">
        <v>30</v>
      </c>
      <c r="C248">
        <v>3</v>
      </c>
      <c r="D248">
        <v>10</v>
      </c>
      <c r="E248">
        <v>2</v>
      </c>
      <c r="F248">
        <v>5.0599999999999996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1</v>
      </c>
      <c r="M248">
        <v>1</v>
      </c>
      <c r="N248">
        <v>0</v>
      </c>
      <c r="O248">
        <v>1</v>
      </c>
      <c r="P248">
        <v>1</v>
      </c>
      <c r="Q248">
        <v>101.9666667</v>
      </c>
    </row>
    <row r="249" spans="1:17" x14ac:dyDescent="0.25">
      <c r="A249">
        <v>43</v>
      </c>
      <c r="B249">
        <v>30</v>
      </c>
      <c r="C249">
        <v>3</v>
      </c>
      <c r="D249">
        <v>0</v>
      </c>
      <c r="E249">
        <v>2</v>
      </c>
      <c r="F249">
        <v>3.06</v>
      </c>
      <c r="G249">
        <v>0</v>
      </c>
      <c r="H249">
        <v>0</v>
      </c>
      <c r="I249">
        <v>1</v>
      </c>
      <c r="J249">
        <v>0</v>
      </c>
      <c r="K249">
        <v>0</v>
      </c>
      <c r="L249">
        <v>1</v>
      </c>
      <c r="M249">
        <v>1</v>
      </c>
      <c r="N249">
        <v>0</v>
      </c>
      <c r="O249">
        <v>1</v>
      </c>
      <c r="P249">
        <v>1</v>
      </c>
      <c r="Q249">
        <v>125.8</v>
      </c>
    </row>
    <row r="250" spans="1:17" x14ac:dyDescent="0.25">
      <c r="A250">
        <v>77</v>
      </c>
      <c r="B250">
        <v>40</v>
      </c>
      <c r="C250">
        <v>3</v>
      </c>
      <c r="D250">
        <v>21</v>
      </c>
      <c r="E250">
        <v>2</v>
      </c>
      <c r="F250">
        <v>6.08</v>
      </c>
      <c r="G250">
        <v>1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1</v>
      </c>
      <c r="O250">
        <v>0</v>
      </c>
      <c r="P250">
        <v>1</v>
      </c>
      <c r="Q250">
        <v>36.633333329999999</v>
      </c>
    </row>
    <row r="251" spans="1:17" x14ac:dyDescent="0.25">
      <c r="A251">
        <v>63</v>
      </c>
      <c r="B251">
        <v>19</v>
      </c>
      <c r="C251">
        <v>2</v>
      </c>
      <c r="D251">
        <v>7</v>
      </c>
      <c r="E251">
        <v>2</v>
      </c>
      <c r="F251">
        <v>6.0379999999999896</v>
      </c>
      <c r="G251">
        <v>1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1</v>
      </c>
      <c r="O251">
        <v>1</v>
      </c>
      <c r="P251">
        <v>1</v>
      </c>
      <c r="Q251">
        <v>71.8</v>
      </c>
    </row>
    <row r="252" spans="1:17" x14ac:dyDescent="0.25">
      <c r="A252">
        <v>60</v>
      </c>
      <c r="B252">
        <v>26</v>
      </c>
      <c r="C252">
        <v>2</v>
      </c>
      <c r="D252">
        <v>4</v>
      </c>
      <c r="E252">
        <v>2</v>
      </c>
      <c r="F252">
        <v>4.0519999999999996</v>
      </c>
      <c r="G252">
        <v>1</v>
      </c>
      <c r="H252">
        <v>0</v>
      </c>
      <c r="I252">
        <v>0</v>
      </c>
      <c r="J252">
        <v>0</v>
      </c>
      <c r="K252">
        <v>0</v>
      </c>
      <c r="L252">
        <v>1</v>
      </c>
      <c r="M252">
        <v>1</v>
      </c>
      <c r="N252">
        <v>1</v>
      </c>
      <c r="O252">
        <v>1</v>
      </c>
      <c r="P252">
        <v>1</v>
      </c>
      <c r="Q252">
        <v>130.9</v>
      </c>
    </row>
    <row r="253" spans="1:17" x14ac:dyDescent="0.25">
      <c r="A253">
        <v>57</v>
      </c>
      <c r="B253">
        <v>29</v>
      </c>
      <c r="C253">
        <v>2</v>
      </c>
      <c r="D253">
        <v>0</v>
      </c>
      <c r="E253">
        <v>7</v>
      </c>
      <c r="F253">
        <v>3.0579999999999998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1</v>
      </c>
      <c r="M253">
        <v>1</v>
      </c>
      <c r="N253">
        <v>0</v>
      </c>
      <c r="O253">
        <v>1</v>
      </c>
      <c r="P253">
        <v>1</v>
      </c>
      <c r="Q253">
        <v>73.7</v>
      </c>
    </row>
    <row r="254" spans="1:17" x14ac:dyDescent="0.25">
      <c r="A254">
        <v>36</v>
      </c>
      <c r="B254">
        <v>22</v>
      </c>
      <c r="C254">
        <v>2</v>
      </c>
      <c r="D254">
        <v>0</v>
      </c>
      <c r="E254">
        <v>1</v>
      </c>
      <c r="F254">
        <v>4.0439999999999996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1</v>
      </c>
      <c r="M254">
        <v>1</v>
      </c>
      <c r="N254">
        <v>1</v>
      </c>
      <c r="O254">
        <v>0</v>
      </c>
      <c r="P254">
        <v>1</v>
      </c>
      <c r="Q254">
        <v>67.466666669999995</v>
      </c>
    </row>
    <row r="255" spans="1:17" x14ac:dyDescent="0.25">
      <c r="A255">
        <v>48</v>
      </c>
      <c r="B255">
        <v>21</v>
      </c>
      <c r="C255">
        <v>2</v>
      </c>
      <c r="D255">
        <v>0</v>
      </c>
      <c r="E255">
        <v>1</v>
      </c>
      <c r="F255">
        <v>4.0419999999999998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1</v>
      </c>
      <c r="M255">
        <v>1</v>
      </c>
      <c r="N255">
        <v>1</v>
      </c>
      <c r="O255">
        <v>1</v>
      </c>
      <c r="P255">
        <v>1</v>
      </c>
      <c r="Q255">
        <v>71.5</v>
      </c>
    </row>
    <row r="256" spans="1:17" x14ac:dyDescent="0.25">
      <c r="A256">
        <v>60</v>
      </c>
      <c r="B256">
        <v>23</v>
      </c>
      <c r="C256">
        <v>2</v>
      </c>
      <c r="D256">
        <v>0</v>
      </c>
      <c r="E256">
        <v>3</v>
      </c>
      <c r="F256">
        <v>3.0459999999999998</v>
      </c>
      <c r="G256">
        <v>1</v>
      </c>
      <c r="H256">
        <v>0</v>
      </c>
      <c r="I256">
        <v>0</v>
      </c>
      <c r="J256">
        <v>0</v>
      </c>
      <c r="K256">
        <v>0</v>
      </c>
      <c r="L256">
        <v>1</v>
      </c>
      <c r="M256">
        <v>1</v>
      </c>
      <c r="N256">
        <v>0</v>
      </c>
      <c r="O256">
        <v>1</v>
      </c>
      <c r="P256">
        <v>1</v>
      </c>
      <c r="Q256">
        <v>101.2333333</v>
      </c>
    </row>
    <row r="257" spans="1:17" x14ac:dyDescent="0.25">
      <c r="A257">
        <v>68</v>
      </c>
      <c r="B257">
        <v>21</v>
      </c>
      <c r="C257">
        <v>2</v>
      </c>
      <c r="D257">
        <v>0</v>
      </c>
      <c r="E257">
        <v>4</v>
      </c>
      <c r="F257">
        <v>4.0419999999999998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1</v>
      </c>
      <c r="M257">
        <v>1</v>
      </c>
      <c r="N257">
        <v>0</v>
      </c>
      <c r="O257">
        <v>1</v>
      </c>
      <c r="P257">
        <v>1</v>
      </c>
      <c r="Q257">
        <v>130.46666669999999</v>
      </c>
    </row>
    <row r="258" spans="1:17" x14ac:dyDescent="0.25">
      <c r="A258">
        <v>56</v>
      </c>
      <c r="B258">
        <v>12</v>
      </c>
      <c r="C258">
        <v>2</v>
      </c>
      <c r="D258">
        <v>1</v>
      </c>
      <c r="E258">
        <v>6</v>
      </c>
      <c r="F258">
        <v>3.0239999999999898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1</v>
      </c>
      <c r="M258">
        <v>1</v>
      </c>
      <c r="N258">
        <v>0</v>
      </c>
      <c r="O258">
        <v>1</v>
      </c>
      <c r="P258">
        <v>1</v>
      </c>
      <c r="Q258">
        <v>60.7</v>
      </c>
    </row>
    <row r="259" spans="1:17" x14ac:dyDescent="0.25">
      <c r="A259">
        <v>60</v>
      </c>
      <c r="B259">
        <v>21</v>
      </c>
      <c r="C259">
        <v>2</v>
      </c>
      <c r="D259">
        <v>1</v>
      </c>
      <c r="E259">
        <v>2</v>
      </c>
      <c r="F259">
        <v>5.0419999999999998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1</v>
      </c>
      <c r="O259">
        <v>0</v>
      </c>
      <c r="P259">
        <v>1</v>
      </c>
      <c r="Q259">
        <v>45.8</v>
      </c>
    </row>
    <row r="260" spans="1:17" x14ac:dyDescent="0.25">
      <c r="A260">
        <v>58</v>
      </c>
      <c r="B260">
        <v>18</v>
      </c>
      <c r="C260">
        <v>1</v>
      </c>
      <c r="D260">
        <v>0</v>
      </c>
      <c r="E260">
        <v>1</v>
      </c>
      <c r="F260">
        <v>4.0359999999999996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1</v>
      </c>
      <c r="M260">
        <v>1</v>
      </c>
      <c r="N260">
        <v>0</v>
      </c>
      <c r="O260">
        <v>1</v>
      </c>
      <c r="P260">
        <v>1</v>
      </c>
      <c r="Q260">
        <v>23.8</v>
      </c>
    </row>
    <row r="261" spans="1:17" x14ac:dyDescent="0.25">
      <c r="A261">
        <v>41</v>
      </c>
      <c r="B261">
        <v>11</v>
      </c>
      <c r="C261">
        <v>1</v>
      </c>
      <c r="D261">
        <v>0</v>
      </c>
      <c r="E261">
        <v>2</v>
      </c>
      <c r="F261">
        <v>4.0220000000000002</v>
      </c>
      <c r="G261">
        <v>1</v>
      </c>
      <c r="H261">
        <v>0</v>
      </c>
      <c r="I261">
        <v>0</v>
      </c>
      <c r="J261">
        <v>0</v>
      </c>
      <c r="K261">
        <v>0</v>
      </c>
      <c r="L261">
        <v>1</v>
      </c>
      <c r="M261">
        <v>1</v>
      </c>
      <c r="N261">
        <v>0</v>
      </c>
      <c r="O261">
        <v>1</v>
      </c>
      <c r="P261">
        <v>1</v>
      </c>
      <c r="Q261">
        <v>115.3</v>
      </c>
    </row>
    <row r="262" spans="1:17" x14ac:dyDescent="0.25">
      <c r="A262">
        <v>59</v>
      </c>
      <c r="B262">
        <v>31</v>
      </c>
      <c r="C262">
        <v>2</v>
      </c>
      <c r="D262">
        <v>0</v>
      </c>
      <c r="E262">
        <v>3</v>
      </c>
      <c r="F262">
        <v>3.0619999999999998</v>
      </c>
      <c r="G262">
        <v>1</v>
      </c>
      <c r="H262">
        <v>0</v>
      </c>
      <c r="I262">
        <v>0</v>
      </c>
      <c r="J262">
        <v>0</v>
      </c>
      <c r="K262">
        <v>0</v>
      </c>
      <c r="L262">
        <v>1</v>
      </c>
      <c r="M262">
        <v>1</v>
      </c>
      <c r="N262">
        <v>0</v>
      </c>
      <c r="O262">
        <v>1</v>
      </c>
      <c r="P262">
        <v>1</v>
      </c>
      <c r="Q262">
        <v>61.7</v>
      </c>
    </row>
    <row r="263" spans="1:17" x14ac:dyDescent="0.25">
      <c r="A263">
        <v>56</v>
      </c>
      <c r="B263">
        <v>24</v>
      </c>
      <c r="C263">
        <v>2</v>
      </c>
      <c r="D263">
        <v>0</v>
      </c>
      <c r="E263">
        <v>4</v>
      </c>
      <c r="F263">
        <v>2.048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1</v>
      </c>
      <c r="M263">
        <v>1</v>
      </c>
      <c r="N263">
        <v>0</v>
      </c>
      <c r="O263">
        <v>1</v>
      </c>
      <c r="P263">
        <v>1</v>
      </c>
      <c r="Q263">
        <v>121.533333299999</v>
      </c>
    </row>
    <row r="264" spans="1:17" x14ac:dyDescent="0.25">
      <c r="A264">
        <v>73</v>
      </c>
      <c r="B264">
        <v>32</v>
      </c>
      <c r="C264">
        <v>2</v>
      </c>
      <c r="D264">
        <v>1</v>
      </c>
      <c r="E264">
        <v>3</v>
      </c>
      <c r="F264">
        <v>4.0640000000000001</v>
      </c>
      <c r="G264">
        <v>1</v>
      </c>
      <c r="H264">
        <v>0</v>
      </c>
      <c r="I264">
        <v>0</v>
      </c>
      <c r="J264">
        <v>0</v>
      </c>
      <c r="K264">
        <v>0</v>
      </c>
      <c r="L264">
        <v>1</v>
      </c>
      <c r="M264">
        <v>1</v>
      </c>
      <c r="N264">
        <v>0</v>
      </c>
      <c r="O264">
        <v>1</v>
      </c>
      <c r="P264">
        <v>1</v>
      </c>
      <c r="Q264">
        <v>117.033333299999</v>
      </c>
    </row>
    <row r="265" spans="1:17" x14ac:dyDescent="0.25">
      <c r="A265">
        <v>62</v>
      </c>
      <c r="B265">
        <v>15</v>
      </c>
      <c r="C265">
        <v>1</v>
      </c>
      <c r="D265">
        <v>0</v>
      </c>
      <c r="E265">
        <v>3</v>
      </c>
      <c r="F265">
        <v>4.03</v>
      </c>
      <c r="G265">
        <v>1</v>
      </c>
      <c r="H265">
        <v>0</v>
      </c>
      <c r="I265">
        <v>0</v>
      </c>
      <c r="J265">
        <v>0</v>
      </c>
      <c r="K265">
        <v>0</v>
      </c>
      <c r="L265">
        <v>1</v>
      </c>
      <c r="M265">
        <v>1</v>
      </c>
      <c r="N265">
        <v>1</v>
      </c>
      <c r="O265">
        <v>0</v>
      </c>
      <c r="P265">
        <v>1</v>
      </c>
      <c r="Q265">
        <v>114.4666667</v>
      </c>
    </row>
    <row r="266" spans="1:17" x14ac:dyDescent="0.25">
      <c r="A266">
        <v>47</v>
      </c>
      <c r="B266">
        <v>17</v>
      </c>
      <c r="C266">
        <v>1</v>
      </c>
      <c r="D266">
        <v>0</v>
      </c>
      <c r="E266">
        <v>2</v>
      </c>
      <c r="F266">
        <v>3.0339999999999998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1</v>
      </c>
      <c r="M266">
        <v>1</v>
      </c>
      <c r="N266">
        <v>0</v>
      </c>
      <c r="O266">
        <v>1</v>
      </c>
      <c r="P266">
        <v>1</v>
      </c>
      <c r="Q266">
        <v>61.9</v>
      </c>
    </row>
    <row r="267" spans="1:17" x14ac:dyDescent="0.25">
      <c r="A267">
        <v>61</v>
      </c>
      <c r="B267">
        <v>65</v>
      </c>
      <c r="C267">
        <v>3</v>
      </c>
      <c r="D267">
        <v>23</v>
      </c>
      <c r="E267">
        <v>1</v>
      </c>
      <c r="F267">
        <v>6.13</v>
      </c>
      <c r="G267">
        <v>1</v>
      </c>
      <c r="H267">
        <v>0</v>
      </c>
      <c r="I267">
        <v>0</v>
      </c>
      <c r="J267">
        <v>0</v>
      </c>
      <c r="K267">
        <v>0</v>
      </c>
      <c r="L267">
        <v>1</v>
      </c>
      <c r="M267">
        <v>1</v>
      </c>
      <c r="N267">
        <v>1</v>
      </c>
      <c r="O267">
        <v>1</v>
      </c>
      <c r="P267">
        <v>1</v>
      </c>
      <c r="Q267">
        <v>110.9666667</v>
      </c>
    </row>
    <row r="268" spans="1:17" x14ac:dyDescent="0.25">
      <c r="A268">
        <v>52</v>
      </c>
      <c r="B268">
        <v>30</v>
      </c>
      <c r="C268">
        <v>2</v>
      </c>
      <c r="D268">
        <v>3</v>
      </c>
      <c r="E268">
        <v>4</v>
      </c>
      <c r="F268">
        <v>4.0599999999999996</v>
      </c>
      <c r="G268">
        <v>0</v>
      </c>
      <c r="H268">
        <v>0</v>
      </c>
      <c r="I268">
        <v>1</v>
      </c>
      <c r="J268">
        <v>0</v>
      </c>
      <c r="K268">
        <v>0</v>
      </c>
      <c r="L268">
        <v>1</v>
      </c>
      <c r="M268">
        <v>1</v>
      </c>
      <c r="N268">
        <v>0</v>
      </c>
      <c r="O268">
        <v>1</v>
      </c>
      <c r="P268">
        <v>1</v>
      </c>
      <c r="Q268">
        <v>212.2</v>
      </c>
    </row>
    <row r="269" spans="1:17" x14ac:dyDescent="0.25">
      <c r="A269">
        <v>40</v>
      </c>
      <c r="B269">
        <v>10</v>
      </c>
      <c r="C269">
        <v>2</v>
      </c>
      <c r="D269">
        <v>0</v>
      </c>
      <c r="E269">
        <v>9</v>
      </c>
      <c r="F269">
        <v>4.0199999999999996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1</v>
      </c>
      <c r="M269">
        <v>1</v>
      </c>
      <c r="N269">
        <v>1</v>
      </c>
      <c r="O269">
        <v>1</v>
      </c>
      <c r="P269">
        <v>0</v>
      </c>
      <c r="Q269">
        <v>80.833333330000002</v>
      </c>
    </row>
    <row r="270" spans="1:17" x14ac:dyDescent="0.25">
      <c r="A270">
        <v>48</v>
      </c>
      <c r="B270">
        <v>25</v>
      </c>
      <c r="C270">
        <v>2</v>
      </c>
      <c r="D270">
        <v>0</v>
      </c>
      <c r="E270">
        <v>6</v>
      </c>
      <c r="F270">
        <v>4.05</v>
      </c>
      <c r="G270">
        <v>1</v>
      </c>
      <c r="H270">
        <v>0</v>
      </c>
      <c r="I270">
        <v>0</v>
      </c>
      <c r="J270">
        <v>0</v>
      </c>
      <c r="K270">
        <v>0</v>
      </c>
      <c r="L270">
        <v>1</v>
      </c>
      <c r="M270">
        <v>1</v>
      </c>
      <c r="N270">
        <v>1</v>
      </c>
      <c r="O270">
        <v>0</v>
      </c>
      <c r="P270">
        <v>1</v>
      </c>
      <c r="Q270">
        <v>65.866666670000001</v>
      </c>
    </row>
    <row r="271" spans="1:17" x14ac:dyDescent="0.25">
      <c r="A271">
        <v>53</v>
      </c>
      <c r="B271">
        <v>26</v>
      </c>
      <c r="C271">
        <v>2</v>
      </c>
      <c r="D271">
        <v>1</v>
      </c>
      <c r="E271">
        <v>3</v>
      </c>
      <c r="F271">
        <v>5.0519999999999996</v>
      </c>
      <c r="G271">
        <v>1</v>
      </c>
      <c r="H271">
        <v>0</v>
      </c>
      <c r="I271">
        <v>0</v>
      </c>
      <c r="J271">
        <v>0</v>
      </c>
      <c r="K271">
        <v>0</v>
      </c>
      <c r="L271">
        <v>1</v>
      </c>
      <c r="M271">
        <v>1</v>
      </c>
      <c r="N271">
        <v>1</v>
      </c>
      <c r="O271">
        <v>1</v>
      </c>
      <c r="P271">
        <v>1</v>
      </c>
      <c r="Q271">
        <v>193.96666669999999</v>
      </c>
    </row>
    <row r="272" spans="1:17" x14ac:dyDescent="0.25">
      <c r="A272">
        <v>67</v>
      </c>
      <c r="B272">
        <v>25</v>
      </c>
      <c r="C272">
        <v>4</v>
      </c>
      <c r="D272">
        <v>7</v>
      </c>
      <c r="E272">
        <v>7</v>
      </c>
      <c r="F272">
        <v>5.05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1</v>
      </c>
      <c r="O272">
        <v>1</v>
      </c>
      <c r="P272">
        <v>0</v>
      </c>
      <c r="Q272">
        <v>48.533333329999998</v>
      </c>
    </row>
    <row r="273" spans="1:17" x14ac:dyDescent="0.25">
      <c r="A273">
        <v>60</v>
      </c>
      <c r="B273">
        <v>16</v>
      </c>
      <c r="C273">
        <v>1</v>
      </c>
      <c r="D273">
        <v>0</v>
      </c>
      <c r="E273">
        <v>6</v>
      </c>
      <c r="F273">
        <v>4.032</v>
      </c>
      <c r="G273">
        <v>1</v>
      </c>
      <c r="H273">
        <v>0</v>
      </c>
      <c r="I273">
        <v>0</v>
      </c>
      <c r="J273">
        <v>0</v>
      </c>
      <c r="K273">
        <v>0</v>
      </c>
      <c r="L273">
        <v>1</v>
      </c>
      <c r="M273">
        <v>1</v>
      </c>
      <c r="N273">
        <v>1</v>
      </c>
      <c r="O273">
        <v>1</v>
      </c>
      <c r="P273">
        <v>1</v>
      </c>
      <c r="Q273">
        <v>163.8666667</v>
      </c>
    </row>
    <row r="274" spans="1:17" x14ac:dyDescent="0.25">
      <c r="A274">
        <v>59</v>
      </c>
      <c r="B274">
        <v>35</v>
      </c>
      <c r="C274">
        <v>2</v>
      </c>
      <c r="D274">
        <v>3</v>
      </c>
      <c r="E274">
        <v>5</v>
      </c>
      <c r="F274">
        <v>5.07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1</v>
      </c>
      <c r="O274">
        <v>1</v>
      </c>
      <c r="P274">
        <v>1</v>
      </c>
      <c r="Q274">
        <v>143.1333333</v>
      </c>
    </row>
    <row r="275" spans="1:17" x14ac:dyDescent="0.25">
      <c r="A275">
        <v>51</v>
      </c>
      <c r="B275">
        <v>17</v>
      </c>
      <c r="C275">
        <v>2</v>
      </c>
      <c r="D275">
        <v>2</v>
      </c>
      <c r="E275">
        <v>12</v>
      </c>
      <c r="F275">
        <v>5.0339999999999998</v>
      </c>
      <c r="G275">
        <v>1</v>
      </c>
      <c r="H275">
        <v>0</v>
      </c>
      <c r="I275">
        <v>0</v>
      </c>
      <c r="J275">
        <v>0</v>
      </c>
      <c r="K275">
        <v>0</v>
      </c>
      <c r="L275">
        <v>1</v>
      </c>
      <c r="M275">
        <v>1</v>
      </c>
      <c r="N275">
        <v>1</v>
      </c>
      <c r="O275">
        <v>1</v>
      </c>
      <c r="P275">
        <v>1</v>
      </c>
      <c r="Q275">
        <v>124.1</v>
      </c>
    </row>
    <row r="276" spans="1:17" x14ac:dyDescent="0.25">
      <c r="A276">
        <v>46</v>
      </c>
      <c r="B276">
        <v>12</v>
      </c>
      <c r="C276">
        <v>1</v>
      </c>
      <c r="D276">
        <v>0</v>
      </c>
      <c r="E276">
        <v>3</v>
      </c>
      <c r="F276">
        <v>3.0239999999999898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1</v>
      </c>
      <c r="M276">
        <v>1</v>
      </c>
      <c r="N276">
        <v>0</v>
      </c>
      <c r="O276">
        <v>1</v>
      </c>
      <c r="P276">
        <v>1</v>
      </c>
      <c r="Q276">
        <v>199.1333333</v>
      </c>
    </row>
    <row r="277" spans="1:17" x14ac:dyDescent="0.25">
      <c r="A277">
        <v>59</v>
      </c>
      <c r="B277">
        <v>14</v>
      </c>
      <c r="C277">
        <v>2</v>
      </c>
      <c r="D277">
        <v>1</v>
      </c>
      <c r="E277">
        <v>1</v>
      </c>
      <c r="F277">
        <v>3.028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1</v>
      </c>
      <c r="M277">
        <v>1</v>
      </c>
      <c r="N277">
        <v>1</v>
      </c>
      <c r="O277">
        <v>1</v>
      </c>
      <c r="P277">
        <v>1</v>
      </c>
      <c r="Q277">
        <v>113.5666667</v>
      </c>
    </row>
    <row r="278" spans="1:17" x14ac:dyDescent="0.25">
      <c r="A278">
        <v>38</v>
      </c>
      <c r="B278">
        <v>19</v>
      </c>
      <c r="C278">
        <v>1</v>
      </c>
      <c r="D278">
        <v>0</v>
      </c>
      <c r="E278">
        <v>2</v>
      </c>
      <c r="F278">
        <v>4.0380000000000003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1</v>
      </c>
      <c r="M278">
        <v>1</v>
      </c>
      <c r="N278">
        <v>1</v>
      </c>
      <c r="O278">
        <v>1</v>
      </c>
      <c r="P278">
        <v>1</v>
      </c>
      <c r="Q278">
        <v>174.2666667</v>
      </c>
    </row>
    <row r="279" spans="1:17" x14ac:dyDescent="0.25">
      <c r="A279">
        <v>39</v>
      </c>
      <c r="B279">
        <v>23</v>
      </c>
      <c r="C279">
        <v>2</v>
      </c>
      <c r="D279">
        <v>5</v>
      </c>
      <c r="E279">
        <v>4</v>
      </c>
      <c r="F279">
        <v>6.0460000000000003</v>
      </c>
      <c r="G279">
        <v>1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1</v>
      </c>
      <c r="O279">
        <v>1</v>
      </c>
      <c r="P279">
        <v>1</v>
      </c>
      <c r="Q279">
        <v>48.6</v>
      </c>
    </row>
    <row r="280" spans="1:17" x14ac:dyDescent="0.25">
      <c r="A280">
        <v>76</v>
      </c>
      <c r="B280">
        <v>32</v>
      </c>
      <c r="C280">
        <v>2</v>
      </c>
      <c r="D280">
        <v>0</v>
      </c>
      <c r="E280">
        <v>2</v>
      </c>
      <c r="F280">
        <v>3.0639999999999898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0</v>
      </c>
      <c r="O280">
        <v>1</v>
      </c>
      <c r="P280">
        <v>1</v>
      </c>
      <c r="Q280">
        <v>51.966666670000002</v>
      </c>
    </row>
    <row r="281" spans="1:17" x14ac:dyDescent="0.25">
      <c r="A281">
        <v>61</v>
      </c>
      <c r="B281">
        <v>29</v>
      </c>
      <c r="C281">
        <v>2</v>
      </c>
      <c r="D281">
        <v>8</v>
      </c>
      <c r="E281">
        <v>4</v>
      </c>
      <c r="F281">
        <v>6.0579999999999998</v>
      </c>
      <c r="G281">
        <v>1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1</v>
      </c>
      <c r="O281">
        <v>1</v>
      </c>
      <c r="P281">
        <v>1</v>
      </c>
      <c r="Q281">
        <v>68.066666670000004</v>
      </c>
    </row>
    <row r="282" spans="1:17" x14ac:dyDescent="0.25">
      <c r="A282">
        <v>47</v>
      </c>
      <c r="B282">
        <v>25</v>
      </c>
      <c r="C282">
        <v>2</v>
      </c>
      <c r="D282">
        <v>0</v>
      </c>
      <c r="E282">
        <v>3</v>
      </c>
      <c r="F282">
        <v>4.05</v>
      </c>
      <c r="G282">
        <v>1</v>
      </c>
      <c r="H282">
        <v>0</v>
      </c>
      <c r="I282">
        <v>0</v>
      </c>
      <c r="J282">
        <v>0</v>
      </c>
      <c r="K282">
        <v>0</v>
      </c>
      <c r="L282">
        <v>1</v>
      </c>
      <c r="M282">
        <v>1</v>
      </c>
      <c r="N282">
        <v>1</v>
      </c>
      <c r="O282">
        <v>1</v>
      </c>
      <c r="P282">
        <v>0</v>
      </c>
      <c r="Q282">
        <v>161.7666667</v>
      </c>
    </row>
    <row r="283" spans="1:17" x14ac:dyDescent="0.25">
      <c r="A283">
        <v>61</v>
      </c>
      <c r="B283">
        <v>17</v>
      </c>
      <c r="C283">
        <v>2</v>
      </c>
      <c r="D283">
        <v>1</v>
      </c>
      <c r="E283">
        <v>4</v>
      </c>
      <c r="F283">
        <v>4.0339999999999998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1</v>
      </c>
      <c r="M283">
        <v>1</v>
      </c>
      <c r="N283">
        <v>0</v>
      </c>
      <c r="O283">
        <v>1</v>
      </c>
      <c r="P283">
        <v>0</v>
      </c>
      <c r="Q283">
        <v>181.46666669999999</v>
      </c>
    </row>
    <row r="284" spans="1:17" x14ac:dyDescent="0.25">
      <c r="A284">
        <v>74</v>
      </c>
      <c r="B284">
        <v>23</v>
      </c>
      <c r="C284">
        <v>2</v>
      </c>
      <c r="D284">
        <v>14</v>
      </c>
      <c r="E284">
        <v>3</v>
      </c>
      <c r="F284">
        <v>6.0460000000000003</v>
      </c>
      <c r="G284">
        <v>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</v>
      </c>
      <c r="O284">
        <v>1</v>
      </c>
      <c r="P284">
        <v>1</v>
      </c>
      <c r="Q284">
        <v>59.5</v>
      </c>
    </row>
    <row r="285" spans="1:17" x14ac:dyDescent="0.25">
      <c r="A285">
        <v>68</v>
      </c>
      <c r="B285">
        <v>20</v>
      </c>
      <c r="C285">
        <v>2</v>
      </c>
      <c r="D285">
        <v>0</v>
      </c>
      <c r="E285">
        <v>9</v>
      </c>
      <c r="F285">
        <v>4.04</v>
      </c>
      <c r="G285">
        <v>1</v>
      </c>
      <c r="H285">
        <v>0</v>
      </c>
      <c r="I285">
        <v>0</v>
      </c>
      <c r="J285">
        <v>0</v>
      </c>
      <c r="K285">
        <v>0</v>
      </c>
      <c r="L285">
        <v>1</v>
      </c>
      <c r="M285">
        <v>1</v>
      </c>
      <c r="N285">
        <v>0</v>
      </c>
      <c r="O285">
        <v>1</v>
      </c>
      <c r="P285">
        <v>1</v>
      </c>
      <c r="Q285">
        <v>272.2</v>
      </c>
    </row>
    <row r="286" spans="1:17" x14ac:dyDescent="0.25">
      <c r="A286">
        <v>61</v>
      </c>
      <c r="B286">
        <v>20</v>
      </c>
      <c r="C286">
        <v>1</v>
      </c>
      <c r="D286">
        <v>0</v>
      </c>
      <c r="E286">
        <v>9</v>
      </c>
      <c r="F286">
        <v>2.04</v>
      </c>
      <c r="G286">
        <v>1</v>
      </c>
      <c r="H286">
        <v>0</v>
      </c>
      <c r="I286">
        <v>0</v>
      </c>
      <c r="J286">
        <v>0</v>
      </c>
      <c r="K286">
        <v>0</v>
      </c>
      <c r="L286">
        <v>1</v>
      </c>
      <c r="M286">
        <v>1</v>
      </c>
      <c r="N286">
        <v>0</v>
      </c>
      <c r="O286">
        <v>1</v>
      </c>
      <c r="P286">
        <v>1</v>
      </c>
      <c r="Q286">
        <v>149.8666667</v>
      </c>
    </row>
    <row r="287" spans="1:17" x14ac:dyDescent="0.25">
      <c r="A287">
        <v>71</v>
      </c>
      <c r="B287">
        <v>21</v>
      </c>
      <c r="C287">
        <v>2</v>
      </c>
      <c r="D287">
        <v>1</v>
      </c>
      <c r="E287">
        <v>5</v>
      </c>
      <c r="F287">
        <v>5.0419999999999998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1</v>
      </c>
      <c r="M287">
        <v>1</v>
      </c>
      <c r="N287">
        <v>0</v>
      </c>
      <c r="O287">
        <v>1</v>
      </c>
      <c r="P287">
        <v>1</v>
      </c>
      <c r="Q287">
        <v>119.8</v>
      </c>
    </row>
    <row r="288" spans="1:17" x14ac:dyDescent="0.25">
      <c r="A288">
        <v>48</v>
      </c>
      <c r="B288">
        <v>55</v>
      </c>
      <c r="C288">
        <v>3</v>
      </c>
      <c r="D288">
        <v>4</v>
      </c>
      <c r="E288">
        <v>3</v>
      </c>
      <c r="F288">
        <v>5.1100000000000003</v>
      </c>
      <c r="G288">
        <v>1</v>
      </c>
      <c r="H288">
        <v>0</v>
      </c>
      <c r="I288">
        <v>0</v>
      </c>
      <c r="J288">
        <v>0</v>
      </c>
      <c r="K288">
        <v>0</v>
      </c>
      <c r="L288">
        <v>1</v>
      </c>
      <c r="M288">
        <v>1</v>
      </c>
      <c r="N288">
        <v>1</v>
      </c>
      <c r="O288">
        <v>1</v>
      </c>
      <c r="P288">
        <v>1</v>
      </c>
      <c r="Q288">
        <v>128.56666670000001</v>
      </c>
    </row>
    <row r="289" spans="1:17" x14ac:dyDescent="0.25">
      <c r="A289">
        <v>68</v>
      </c>
      <c r="B289">
        <v>21</v>
      </c>
      <c r="C289">
        <v>2</v>
      </c>
      <c r="D289">
        <v>5</v>
      </c>
      <c r="E289">
        <v>5</v>
      </c>
      <c r="F289">
        <v>6.0419999999999998</v>
      </c>
      <c r="G289">
        <v>1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0</v>
      </c>
      <c r="O289">
        <v>1</v>
      </c>
      <c r="P289">
        <v>1</v>
      </c>
      <c r="Q289">
        <v>31</v>
      </c>
    </row>
    <row r="290" spans="1:17" x14ac:dyDescent="0.25">
      <c r="A290">
        <v>51</v>
      </c>
      <c r="B290">
        <v>10</v>
      </c>
      <c r="C290">
        <v>1</v>
      </c>
      <c r="D290">
        <v>0</v>
      </c>
      <c r="E290">
        <v>3</v>
      </c>
      <c r="F290">
        <v>3.02</v>
      </c>
      <c r="G290">
        <v>0</v>
      </c>
      <c r="H290">
        <v>0</v>
      </c>
      <c r="I290">
        <v>0</v>
      </c>
      <c r="J290">
        <v>1</v>
      </c>
      <c r="K290">
        <v>0</v>
      </c>
      <c r="L290">
        <v>1</v>
      </c>
      <c r="M290">
        <v>1</v>
      </c>
      <c r="N290">
        <v>0</v>
      </c>
      <c r="O290">
        <v>1</v>
      </c>
      <c r="P290">
        <v>1</v>
      </c>
      <c r="Q290">
        <v>65.400000000000006</v>
      </c>
    </row>
    <row r="291" spans="1:17" x14ac:dyDescent="0.25">
      <c r="A291">
        <v>59</v>
      </c>
      <c r="B291">
        <v>42</v>
      </c>
      <c r="C291">
        <v>2</v>
      </c>
      <c r="D291">
        <v>6</v>
      </c>
      <c r="E291">
        <v>2</v>
      </c>
      <c r="F291">
        <v>5.0839999999999996</v>
      </c>
      <c r="G291">
        <v>0</v>
      </c>
      <c r="H291">
        <v>0</v>
      </c>
      <c r="I291">
        <v>1</v>
      </c>
      <c r="J291">
        <v>0</v>
      </c>
      <c r="K291">
        <v>0</v>
      </c>
      <c r="L291">
        <v>1</v>
      </c>
      <c r="M291">
        <v>1</v>
      </c>
      <c r="N291">
        <v>1</v>
      </c>
      <c r="O291">
        <v>1</v>
      </c>
      <c r="P291">
        <v>1</v>
      </c>
      <c r="Q291">
        <v>110.1</v>
      </c>
    </row>
    <row r="292" spans="1:17" x14ac:dyDescent="0.25">
      <c r="A292">
        <v>33</v>
      </c>
      <c r="B292">
        <v>40</v>
      </c>
      <c r="C292">
        <v>2</v>
      </c>
      <c r="D292">
        <v>2</v>
      </c>
      <c r="E292">
        <v>2</v>
      </c>
      <c r="F292">
        <v>5.08</v>
      </c>
      <c r="G292">
        <v>1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1</v>
      </c>
      <c r="O292">
        <v>1</v>
      </c>
      <c r="P292">
        <v>1</v>
      </c>
      <c r="Q292">
        <v>79.366666670000001</v>
      </c>
    </row>
    <row r="293" spans="1:17" x14ac:dyDescent="0.25">
      <c r="A293">
        <v>96</v>
      </c>
      <c r="B293">
        <v>26</v>
      </c>
      <c r="C293">
        <v>2</v>
      </c>
      <c r="D293">
        <v>14</v>
      </c>
      <c r="E293">
        <v>5</v>
      </c>
      <c r="F293">
        <v>6.0519999999999996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0</v>
      </c>
      <c r="O293">
        <v>0</v>
      </c>
      <c r="P293">
        <v>1</v>
      </c>
      <c r="Q293">
        <v>7.8666666669999996</v>
      </c>
    </row>
    <row r="294" spans="1:17" x14ac:dyDescent="0.25">
      <c r="A294">
        <v>75</v>
      </c>
      <c r="B294">
        <v>22</v>
      </c>
      <c r="C294">
        <v>2</v>
      </c>
      <c r="D294">
        <v>0</v>
      </c>
      <c r="E294">
        <v>3</v>
      </c>
      <c r="F294">
        <v>3.0439999999999898</v>
      </c>
      <c r="G294">
        <v>0</v>
      </c>
      <c r="H294">
        <v>1</v>
      </c>
      <c r="I294">
        <v>0</v>
      </c>
      <c r="J294">
        <v>0</v>
      </c>
      <c r="K294">
        <v>0</v>
      </c>
      <c r="L294">
        <v>1</v>
      </c>
      <c r="M294">
        <v>1</v>
      </c>
      <c r="N294">
        <v>0</v>
      </c>
      <c r="O294">
        <v>1</v>
      </c>
      <c r="P294">
        <v>0</v>
      </c>
      <c r="Q294">
        <v>62.633333329999999</v>
      </c>
    </row>
    <row r="295" spans="1:17" x14ac:dyDescent="0.25">
      <c r="A295">
        <v>41</v>
      </c>
      <c r="B295">
        <v>20</v>
      </c>
      <c r="C295">
        <v>1</v>
      </c>
      <c r="D295">
        <v>0</v>
      </c>
      <c r="E295">
        <v>1</v>
      </c>
      <c r="F295">
        <v>4.04</v>
      </c>
      <c r="G295">
        <v>1</v>
      </c>
      <c r="H295">
        <v>0</v>
      </c>
      <c r="I295">
        <v>0</v>
      </c>
      <c r="J295">
        <v>0</v>
      </c>
      <c r="K295">
        <v>0</v>
      </c>
      <c r="L295">
        <v>1</v>
      </c>
      <c r="M295">
        <v>1</v>
      </c>
      <c r="N295">
        <v>0</v>
      </c>
      <c r="O295">
        <v>1</v>
      </c>
      <c r="P295">
        <v>0</v>
      </c>
      <c r="Q295">
        <v>118.2</v>
      </c>
    </row>
    <row r="296" spans="1:17" x14ac:dyDescent="0.25">
      <c r="A296">
        <v>76</v>
      </c>
      <c r="B296">
        <v>28</v>
      </c>
      <c r="C296">
        <v>2</v>
      </c>
      <c r="D296">
        <v>1</v>
      </c>
      <c r="E296">
        <v>3</v>
      </c>
      <c r="F296">
        <v>5.056</v>
      </c>
      <c r="G296">
        <v>1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0</v>
      </c>
      <c r="O296">
        <v>1</v>
      </c>
      <c r="P296">
        <v>1</v>
      </c>
      <c r="Q296">
        <v>115.7</v>
      </c>
    </row>
    <row r="297" spans="1:17" x14ac:dyDescent="0.25">
      <c r="A297">
        <v>50</v>
      </c>
      <c r="B297">
        <v>24</v>
      </c>
      <c r="C297">
        <v>2</v>
      </c>
      <c r="D297">
        <v>1</v>
      </c>
      <c r="E297">
        <v>5</v>
      </c>
      <c r="F297">
        <v>4.048</v>
      </c>
      <c r="G297">
        <v>0</v>
      </c>
      <c r="H297">
        <v>1</v>
      </c>
      <c r="I297">
        <v>0</v>
      </c>
      <c r="J297">
        <v>0</v>
      </c>
      <c r="K297">
        <v>0</v>
      </c>
      <c r="L297">
        <v>1</v>
      </c>
      <c r="M297">
        <v>1</v>
      </c>
      <c r="N297">
        <v>1</v>
      </c>
      <c r="O297">
        <v>1</v>
      </c>
      <c r="P297">
        <v>1</v>
      </c>
      <c r="Q297">
        <v>91.266666670000006</v>
      </c>
    </row>
    <row r="298" spans="1:17" x14ac:dyDescent="0.25">
      <c r="A298">
        <v>76</v>
      </c>
      <c r="B298">
        <v>22</v>
      </c>
      <c r="C298">
        <v>2</v>
      </c>
      <c r="D298">
        <v>0</v>
      </c>
      <c r="E298">
        <v>2</v>
      </c>
      <c r="F298">
        <v>3.0439999999999898</v>
      </c>
      <c r="G298">
        <v>1</v>
      </c>
      <c r="H298">
        <v>0</v>
      </c>
      <c r="I298">
        <v>0</v>
      </c>
      <c r="J298">
        <v>0</v>
      </c>
      <c r="K298">
        <v>0</v>
      </c>
      <c r="L298">
        <v>1</v>
      </c>
      <c r="M298">
        <v>1</v>
      </c>
      <c r="N298">
        <v>0</v>
      </c>
      <c r="O298">
        <v>0</v>
      </c>
      <c r="P298">
        <v>0</v>
      </c>
      <c r="Q298">
        <v>119.733333299999</v>
      </c>
    </row>
    <row r="299" spans="1:17" x14ac:dyDescent="0.25">
      <c r="A299">
        <v>59</v>
      </c>
      <c r="B299">
        <v>35</v>
      </c>
      <c r="C299">
        <v>4</v>
      </c>
      <c r="D299">
        <v>25</v>
      </c>
      <c r="E299">
        <v>4</v>
      </c>
      <c r="F299">
        <v>5.07</v>
      </c>
      <c r="G299">
        <v>0</v>
      </c>
      <c r="H299">
        <v>1</v>
      </c>
      <c r="I299">
        <v>0</v>
      </c>
      <c r="J299">
        <v>0</v>
      </c>
      <c r="K299">
        <v>0</v>
      </c>
      <c r="L299">
        <v>1</v>
      </c>
      <c r="M299">
        <v>1</v>
      </c>
      <c r="N299">
        <v>0</v>
      </c>
      <c r="O299">
        <v>1</v>
      </c>
      <c r="P299">
        <v>1</v>
      </c>
      <c r="Q299">
        <v>125.8</v>
      </c>
    </row>
    <row r="300" spans="1:17" x14ac:dyDescent="0.25">
      <c r="A300">
        <v>84</v>
      </c>
      <c r="B300">
        <v>17</v>
      </c>
      <c r="C300">
        <v>1</v>
      </c>
      <c r="D300">
        <v>0</v>
      </c>
      <c r="E300">
        <v>2</v>
      </c>
      <c r="F300">
        <v>4.0339999999999998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0</v>
      </c>
      <c r="O300">
        <v>1</v>
      </c>
      <c r="P300">
        <v>0</v>
      </c>
      <c r="Q300">
        <v>119.4666667</v>
      </c>
    </row>
    <row r="301" spans="1:17" x14ac:dyDescent="0.25">
      <c r="A301">
        <v>62</v>
      </c>
      <c r="B301">
        <v>90</v>
      </c>
      <c r="C301">
        <v>3</v>
      </c>
      <c r="D301">
        <v>13</v>
      </c>
      <c r="E301">
        <v>2</v>
      </c>
      <c r="F301">
        <v>5.18</v>
      </c>
      <c r="G301">
        <v>0</v>
      </c>
      <c r="H301">
        <v>0</v>
      </c>
      <c r="I301">
        <v>1</v>
      </c>
      <c r="J301">
        <v>0</v>
      </c>
      <c r="K301">
        <v>0</v>
      </c>
      <c r="L301">
        <v>0</v>
      </c>
      <c r="M301">
        <v>1</v>
      </c>
      <c r="N301">
        <v>1</v>
      </c>
      <c r="O301">
        <v>0</v>
      </c>
      <c r="P301">
        <v>1</v>
      </c>
      <c r="Q301">
        <v>34.666666669999998</v>
      </c>
    </row>
    <row r="302" spans="1:17" x14ac:dyDescent="0.25">
      <c r="A302">
        <v>77</v>
      </c>
      <c r="B302">
        <v>45</v>
      </c>
      <c r="C302">
        <v>3</v>
      </c>
      <c r="D302">
        <v>1</v>
      </c>
      <c r="E302">
        <v>6</v>
      </c>
      <c r="F302">
        <v>5.09</v>
      </c>
      <c r="G302">
        <v>1</v>
      </c>
      <c r="H302">
        <v>0</v>
      </c>
      <c r="I302">
        <v>0</v>
      </c>
      <c r="J302">
        <v>0</v>
      </c>
      <c r="K302">
        <v>0</v>
      </c>
      <c r="L302">
        <v>1</v>
      </c>
      <c r="M302">
        <v>1</v>
      </c>
      <c r="N302">
        <v>0</v>
      </c>
      <c r="O302">
        <v>1</v>
      </c>
      <c r="P302">
        <v>1</v>
      </c>
      <c r="Q302">
        <v>44.233333330000001</v>
      </c>
    </row>
    <row r="303" spans="1:17" x14ac:dyDescent="0.25">
      <c r="A303">
        <v>77</v>
      </c>
      <c r="B303">
        <v>24</v>
      </c>
      <c r="C303">
        <v>2</v>
      </c>
      <c r="D303">
        <v>9</v>
      </c>
      <c r="E303">
        <v>4</v>
      </c>
      <c r="F303">
        <v>5.048</v>
      </c>
      <c r="G303">
        <v>1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1</v>
      </c>
      <c r="P303">
        <v>1</v>
      </c>
      <c r="Q303">
        <v>89.366666670000001</v>
      </c>
    </row>
    <row r="304" spans="1:17" x14ac:dyDescent="0.25">
      <c r="A304">
        <v>46</v>
      </c>
      <c r="B304">
        <v>24</v>
      </c>
      <c r="C304">
        <v>2</v>
      </c>
      <c r="D304">
        <v>1</v>
      </c>
      <c r="E304">
        <v>3</v>
      </c>
      <c r="F304">
        <v>4.048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1</v>
      </c>
      <c r="M304">
        <v>1</v>
      </c>
      <c r="N304">
        <v>1</v>
      </c>
      <c r="O304">
        <v>1</v>
      </c>
      <c r="P304">
        <v>1</v>
      </c>
      <c r="Q304">
        <v>123.2666667</v>
      </c>
    </row>
    <row r="305" spans="1:17" x14ac:dyDescent="0.25">
      <c r="A305">
        <v>70</v>
      </c>
      <c r="B305">
        <v>27</v>
      </c>
      <c r="C305">
        <v>2</v>
      </c>
      <c r="D305">
        <v>9</v>
      </c>
      <c r="E305">
        <v>2</v>
      </c>
      <c r="F305">
        <v>6.0539999999999896</v>
      </c>
      <c r="G305">
        <v>0</v>
      </c>
      <c r="H305">
        <v>1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0</v>
      </c>
      <c r="O305">
        <v>1</v>
      </c>
      <c r="P305">
        <v>1</v>
      </c>
      <c r="Q305">
        <v>111</v>
      </c>
    </row>
    <row r="306" spans="1:17" x14ac:dyDescent="0.25">
      <c r="A306">
        <v>32</v>
      </c>
      <c r="B306">
        <v>25</v>
      </c>
      <c r="C306">
        <v>2</v>
      </c>
      <c r="D306">
        <v>8</v>
      </c>
      <c r="E306">
        <v>2</v>
      </c>
      <c r="F306">
        <v>6.05</v>
      </c>
      <c r="G306">
        <v>1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1</v>
      </c>
      <c r="O306">
        <v>1</v>
      </c>
      <c r="P306">
        <v>1</v>
      </c>
      <c r="Q306">
        <v>29.666666670000001</v>
      </c>
    </row>
    <row r="307" spans="1:17" x14ac:dyDescent="0.25">
      <c r="A307">
        <v>79</v>
      </c>
      <c r="B307">
        <v>21</v>
      </c>
      <c r="C307">
        <v>2</v>
      </c>
      <c r="D307">
        <v>1</v>
      </c>
      <c r="E307">
        <v>7</v>
      </c>
      <c r="F307">
        <v>4.0419999999999998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1</v>
      </c>
      <c r="M307">
        <v>1</v>
      </c>
      <c r="N307">
        <v>0</v>
      </c>
      <c r="O307">
        <v>1</v>
      </c>
      <c r="P307">
        <v>0</v>
      </c>
      <c r="Q307">
        <v>121.9666667</v>
      </c>
    </row>
    <row r="308" spans="1:17" x14ac:dyDescent="0.25">
      <c r="A308">
        <v>58</v>
      </c>
      <c r="B308">
        <v>18</v>
      </c>
      <c r="C308">
        <v>1</v>
      </c>
      <c r="D308">
        <v>0</v>
      </c>
      <c r="E308">
        <v>3</v>
      </c>
      <c r="F308">
        <v>3.036</v>
      </c>
      <c r="G308">
        <v>0</v>
      </c>
      <c r="H308">
        <v>0</v>
      </c>
      <c r="I308">
        <v>1</v>
      </c>
      <c r="J308">
        <v>0</v>
      </c>
      <c r="K308">
        <v>0</v>
      </c>
      <c r="L308">
        <v>1</v>
      </c>
      <c r="M308">
        <v>1</v>
      </c>
      <c r="N308">
        <v>0</v>
      </c>
      <c r="O308">
        <v>1</v>
      </c>
      <c r="P308">
        <v>0</v>
      </c>
      <c r="Q308">
        <v>114.6</v>
      </c>
    </row>
    <row r="309" spans="1:17" x14ac:dyDescent="0.25">
      <c r="A309">
        <v>53</v>
      </c>
      <c r="B309">
        <v>30</v>
      </c>
      <c r="C309">
        <v>2</v>
      </c>
      <c r="D309">
        <v>2</v>
      </c>
      <c r="E309">
        <v>5</v>
      </c>
      <c r="F309">
        <v>5.0599999999999996</v>
      </c>
      <c r="G309">
        <v>1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1</v>
      </c>
      <c r="O309">
        <v>1</v>
      </c>
      <c r="P309">
        <v>1</v>
      </c>
      <c r="Q309">
        <v>87.833333330000002</v>
      </c>
    </row>
    <row r="310" spans="1:17" x14ac:dyDescent="0.25">
      <c r="A310">
        <v>51</v>
      </c>
      <c r="B310">
        <v>14</v>
      </c>
      <c r="C310">
        <v>2</v>
      </c>
      <c r="D310">
        <v>2</v>
      </c>
      <c r="E310">
        <v>2</v>
      </c>
      <c r="F310">
        <v>4.0279999999999996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1</v>
      </c>
      <c r="O310">
        <v>1</v>
      </c>
      <c r="P310">
        <v>0</v>
      </c>
      <c r="Q310">
        <v>98.7</v>
      </c>
    </row>
    <row r="311" spans="1:17" x14ac:dyDescent="0.25">
      <c r="A311">
        <v>75</v>
      </c>
      <c r="B311">
        <v>24</v>
      </c>
      <c r="C311">
        <v>2</v>
      </c>
      <c r="D311">
        <v>0</v>
      </c>
      <c r="E311">
        <v>3</v>
      </c>
      <c r="F311">
        <v>4.048</v>
      </c>
      <c r="G311">
        <v>1</v>
      </c>
      <c r="H311">
        <v>0</v>
      </c>
      <c r="I311">
        <v>0</v>
      </c>
      <c r="J311">
        <v>0</v>
      </c>
      <c r="K311">
        <v>0</v>
      </c>
      <c r="L311">
        <v>1</v>
      </c>
      <c r="M311">
        <v>1</v>
      </c>
      <c r="N311">
        <v>0</v>
      </c>
      <c r="O311">
        <v>1</v>
      </c>
      <c r="P311">
        <v>0</v>
      </c>
      <c r="Q311">
        <v>104.5333333</v>
      </c>
    </row>
    <row r="312" spans="1:17" x14ac:dyDescent="0.25">
      <c r="A312">
        <v>60</v>
      </c>
      <c r="B312">
        <v>60</v>
      </c>
      <c r="C312">
        <v>3</v>
      </c>
      <c r="D312">
        <v>0</v>
      </c>
      <c r="E312">
        <v>3</v>
      </c>
      <c r="F312">
        <v>3.12</v>
      </c>
      <c r="G312">
        <v>0</v>
      </c>
      <c r="H312">
        <v>0</v>
      </c>
      <c r="I312">
        <v>0</v>
      </c>
      <c r="J312">
        <v>0</v>
      </c>
      <c r="K312">
        <v>1</v>
      </c>
      <c r="L312">
        <v>1</v>
      </c>
      <c r="M312">
        <v>1</v>
      </c>
      <c r="N312">
        <v>1</v>
      </c>
      <c r="O312">
        <v>0</v>
      </c>
      <c r="P312">
        <v>1</v>
      </c>
      <c r="Q312">
        <v>48.8</v>
      </c>
    </row>
    <row r="313" spans="1:17" x14ac:dyDescent="0.25">
      <c r="A313">
        <v>48</v>
      </c>
      <c r="B313">
        <v>19</v>
      </c>
      <c r="C313">
        <v>2</v>
      </c>
      <c r="D313">
        <v>1</v>
      </c>
      <c r="E313">
        <v>4</v>
      </c>
      <c r="F313">
        <v>5.0380000000000003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1</v>
      </c>
      <c r="M313">
        <v>1</v>
      </c>
      <c r="N313">
        <v>1</v>
      </c>
      <c r="O313">
        <v>1</v>
      </c>
      <c r="P313">
        <v>0</v>
      </c>
      <c r="Q313">
        <v>119.333333299999</v>
      </c>
    </row>
    <row r="314" spans="1:17" x14ac:dyDescent="0.25">
      <c r="A314">
        <v>63</v>
      </c>
      <c r="B314">
        <v>17</v>
      </c>
      <c r="C314">
        <v>1</v>
      </c>
      <c r="D314">
        <v>0</v>
      </c>
      <c r="E314">
        <v>3</v>
      </c>
      <c r="F314">
        <v>3.0339999999999998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1</v>
      </c>
      <c r="M314">
        <v>1</v>
      </c>
      <c r="N314">
        <v>0</v>
      </c>
      <c r="O314">
        <v>1</v>
      </c>
      <c r="P314">
        <v>0</v>
      </c>
      <c r="Q314">
        <v>101.9</v>
      </c>
    </row>
    <row r="315" spans="1:17" x14ac:dyDescent="0.25">
      <c r="A315">
        <v>38</v>
      </c>
      <c r="B315">
        <v>25</v>
      </c>
      <c r="C315">
        <v>2</v>
      </c>
      <c r="D315">
        <v>1</v>
      </c>
      <c r="E315">
        <v>1</v>
      </c>
      <c r="F315">
        <v>5.05</v>
      </c>
      <c r="G315">
        <v>1</v>
      </c>
      <c r="H315">
        <v>0</v>
      </c>
      <c r="I315">
        <v>0</v>
      </c>
      <c r="J315">
        <v>0</v>
      </c>
      <c r="K315">
        <v>0</v>
      </c>
      <c r="L315">
        <v>1</v>
      </c>
      <c r="M315">
        <v>1</v>
      </c>
      <c r="N315">
        <v>1</v>
      </c>
      <c r="O315">
        <v>1</v>
      </c>
      <c r="P315">
        <v>1</v>
      </c>
      <c r="Q315">
        <v>94.233333329999994</v>
      </c>
    </row>
    <row r="316" spans="1:17" x14ac:dyDescent="0.25">
      <c r="A316">
        <v>70</v>
      </c>
      <c r="B316">
        <v>30</v>
      </c>
      <c r="C316">
        <v>2</v>
      </c>
      <c r="D316">
        <v>1</v>
      </c>
      <c r="E316">
        <v>2</v>
      </c>
      <c r="F316">
        <v>4.0599999999999996</v>
      </c>
      <c r="G316">
        <v>0</v>
      </c>
      <c r="H316">
        <v>0</v>
      </c>
      <c r="I316">
        <v>1</v>
      </c>
      <c r="J316">
        <v>0</v>
      </c>
      <c r="K316">
        <v>0</v>
      </c>
      <c r="L316">
        <v>1</v>
      </c>
      <c r="M316">
        <v>1</v>
      </c>
      <c r="N316">
        <v>0</v>
      </c>
      <c r="O316">
        <v>1</v>
      </c>
      <c r="P316">
        <v>1</v>
      </c>
      <c r="Q316">
        <v>33.566666669999996</v>
      </c>
    </row>
    <row r="317" spans="1:17" x14ac:dyDescent="0.25">
      <c r="A317">
        <v>66</v>
      </c>
      <c r="B317">
        <v>12</v>
      </c>
      <c r="C317">
        <v>1</v>
      </c>
      <c r="D317">
        <v>0</v>
      </c>
      <c r="E317">
        <v>2</v>
      </c>
      <c r="F317">
        <v>3.0239999999999898</v>
      </c>
      <c r="G317">
        <v>1</v>
      </c>
      <c r="H317">
        <v>0</v>
      </c>
      <c r="I317">
        <v>0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1</v>
      </c>
      <c r="P317">
        <v>1</v>
      </c>
      <c r="Q317">
        <v>111.0666667</v>
      </c>
    </row>
    <row r="318" spans="1:17" x14ac:dyDescent="0.25">
      <c r="A318">
        <v>64</v>
      </c>
      <c r="B318">
        <v>16</v>
      </c>
      <c r="C318">
        <v>2</v>
      </c>
      <c r="D318">
        <v>1</v>
      </c>
      <c r="E318">
        <v>2</v>
      </c>
      <c r="F318">
        <v>4.032</v>
      </c>
      <c r="G318">
        <v>1</v>
      </c>
      <c r="H318">
        <v>0</v>
      </c>
      <c r="I318">
        <v>0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1</v>
      </c>
      <c r="P318">
        <v>0</v>
      </c>
      <c r="Q318">
        <v>64.033333330000005</v>
      </c>
    </row>
    <row r="319" spans="1:17" x14ac:dyDescent="0.25">
      <c r="A319">
        <v>61</v>
      </c>
      <c r="B319">
        <v>20</v>
      </c>
      <c r="C319">
        <v>2</v>
      </c>
      <c r="D319">
        <v>0</v>
      </c>
      <c r="E319">
        <v>6</v>
      </c>
      <c r="F319">
        <v>4.04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0</v>
      </c>
      <c r="O319">
        <v>1</v>
      </c>
      <c r="P319">
        <v>1</v>
      </c>
      <c r="Q319">
        <v>35.533333329999998</v>
      </c>
    </row>
    <row r="320" spans="1:17" x14ac:dyDescent="0.25">
      <c r="A320">
        <v>38</v>
      </c>
      <c r="B320">
        <v>20</v>
      </c>
      <c r="C320">
        <v>1</v>
      </c>
      <c r="D320">
        <v>0</v>
      </c>
      <c r="E320">
        <v>2</v>
      </c>
      <c r="F320">
        <v>4.04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1</v>
      </c>
      <c r="M320">
        <v>1</v>
      </c>
      <c r="N320">
        <v>1</v>
      </c>
      <c r="O320">
        <v>1</v>
      </c>
      <c r="P320">
        <v>1</v>
      </c>
      <c r="Q320">
        <v>86.8</v>
      </c>
    </row>
    <row r="321" spans="1:17" x14ac:dyDescent="0.25">
      <c r="A321">
        <v>84</v>
      </c>
      <c r="B321">
        <v>25</v>
      </c>
      <c r="C321">
        <v>2</v>
      </c>
      <c r="D321">
        <v>1</v>
      </c>
      <c r="E321">
        <v>3</v>
      </c>
      <c r="F321">
        <v>4.05</v>
      </c>
      <c r="G321">
        <v>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1</v>
      </c>
      <c r="O321">
        <v>1</v>
      </c>
      <c r="P321">
        <v>1</v>
      </c>
      <c r="Q321">
        <v>47.433333330000004</v>
      </c>
    </row>
    <row r="322" spans="1:17" x14ac:dyDescent="0.25">
      <c r="A322">
        <v>51</v>
      </c>
      <c r="B322">
        <v>20</v>
      </c>
      <c r="C322">
        <v>1</v>
      </c>
      <c r="D322">
        <v>0</v>
      </c>
      <c r="E322">
        <v>4</v>
      </c>
      <c r="F322">
        <v>3.04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1</v>
      </c>
      <c r="M322">
        <v>1</v>
      </c>
      <c r="N322">
        <v>0</v>
      </c>
      <c r="O322">
        <v>1</v>
      </c>
      <c r="P322">
        <v>1</v>
      </c>
      <c r="Q322">
        <v>56.5</v>
      </c>
    </row>
    <row r="323" spans="1:17" x14ac:dyDescent="0.25">
      <c r="A323">
        <v>26</v>
      </c>
      <c r="B323">
        <v>12</v>
      </c>
      <c r="C323">
        <v>1</v>
      </c>
      <c r="D323">
        <v>0</v>
      </c>
      <c r="E323">
        <v>1</v>
      </c>
      <c r="F323">
        <v>4.024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0</v>
      </c>
      <c r="O323">
        <v>1</v>
      </c>
      <c r="P323">
        <v>1</v>
      </c>
      <c r="Q323">
        <v>32.633333329999999</v>
      </c>
    </row>
    <row r="324" spans="1:17" x14ac:dyDescent="0.25">
      <c r="A324">
        <v>75</v>
      </c>
      <c r="B324">
        <v>31</v>
      </c>
      <c r="C324">
        <v>2</v>
      </c>
      <c r="D324">
        <v>0</v>
      </c>
      <c r="E324">
        <v>4</v>
      </c>
      <c r="F324">
        <v>4.0620000000000003</v>
      </c>
      <c r="G324">
        <v>1</v>
      </c>
      <c r="H324">
        <v>0</v>
      </c>
      <c r="I324">
        <v>0</v>
      </c>
      <c r="J324">
        <v>0</v>
      </c>
      <c r="K324">
        <v>0</v>
      </c>
      <c r="L324">
        <v>1</v>
      </c>
      <c r="M324">
        <v>1</v>
      </c>
      <c r="N324">
        <v>0</v>
      </c>
      <c r="O324">
        <v>1</v>
      </c>
      <c r="P324">
        <v>1</v>
      </c>
      <c r="Q324">
        <v>80.666666669999998</v>
      </c>
    </row>
    <row r="325" spans="1:17" x14ac:dyDescent="0.25">
      <c r="A325">
        <v>50</v>
      </c>
      <c r="B325">
        <v>18</v>
      </c>
      <c r="C325">
        <v>1</v>
      </c>
      <c r="D325">
        <v>0</v>
      </c>
      <c r="E325">
        <v>3</v>
      </c>
      <c r="F325">
        <v>4.0359999999999996</v>
      </c>
      <c r="G325">
        <v>1</v>
      </c>
      <c r="H325">
        <v>0</v>
      </c>
      <c r="I325">
        <v>0</v>
      </c>
      <c r="J325">
        <v>0</v>
      </c>
      <c r="K325">
        <v>0</v>
      </c>
      <c r="L325">
        <v>1</v>
      </c>
      <c r="M325">
        <v>1</v>
      </c>
      <c r="N325">
        <v>1</v>
      </c>
      <c r="O325">
        <v>0</v>
      </c>
      <c r="P325">
        <v>1</v>
      </c>
      <c r="Q325">
        <v>75.400000000000006</v>
      </c>
    </row>
    <row r="326" spans="1:17" x14ac:dyDescent="0.25">
      <c r="A326">
        <v>66</v>
      </c>
      <c r="B326">
        <v>13</v>
      </c>
      <c r="C326">
        <v>1</v>
      </c>
      <c r="D326">
        <v>0</v>
      </c>
      <c r="E326">
        <v>3</v>
      </c>
      <c r="F326">
        <v>3.0259999999999998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1</v>
      </c>
      <c r="M326">
        <v>1</v>
      </c>
      <c r="N326">
        <v>0</v>
      </c>
      <c r="O326">
        <v>1</v>
      </c>
      <c r="P326">
        <v>1</v>
      </c>
      <c r="Q326">
        <v>61.333333330000002</v>
      </c>
    </row>
    <row r="327" spans="1:17" x14ac:dyDescent="0.25">
      <c r="A327">
        <v>71</v>
      </c>
      <c r="B327">
        <v>30</v>
      </c>
      <c r="C327">
        <v>3</v>
      </c>
      <c r="D327">
        <v>5</v>
      </c>
      <c r="E327">
        <v>2</v>
      </c>
      <c r="F327">
        <v>5.0599999999999996</v>
      </c>
      <c r="G327">
        <v>1</v>
      </c>
      <c r="H327">
        <v>0</v>
      </c>
      <c r="I327">
        <v>0</v>
      </c>
      <c r="J327">
        <v>0</v>
      </c>
      <c r="K327">
        <v>0</v>
      </c>
      <c r="L327">
        <v>1</v>
      </c>
      <c r="M327">
        <v>1</v>
      </c>
      <c r="N327">
        <v>0</v>
      </c>
      <c r="O327">
        <v>1</v>
      </c>
      <c r="P327">
        <v>1</v>
      </c>
      <c r="Q327">
        <v>93.3</v>
      </c>
    </row>
    <row r="328" spans="1:17" x14ac:dyDescent="0.25">
      <c r="A328">
        <v>67</v>
      </c>
      <c r="B328">
        <v>33</v>
      </c>
      <c r="C328">
        <v>2</v>
      </c>
      <c r="D328">
        <v>6</v>
      </c>
      <c r="E328">
        <v>2</v>
      </c>
      <c r="F328">
        <v>5.0659999999999998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0</v>
      </c>
      <c r="O328">
        <v>1</v>
      </c>
      <c r="P328">
        <v>1</v>
      </c>
      <c r="Q328">
        <v>15.16666667</v>
      </c>
    </row>
    <row r="329" spans="1:17" x14ac:dyDescent="0.25">
      <c r="A329">
        <v>60</v>
      </c>
      <c r="B329">
        <v>8</v>
      </c>
      <c r="C329">
        <v>2</v>
      </c>
      <c r="D329">
        <v>4</v>
      </c>
      <c r="E329">
        <v>3</v>
      </c>
      <c r="F329">
        <v>4.016</v>
      </c>
      <c r="G329">
        <v>1</v>
      </c>
      <c r="H329">
        <v>0</v>
      </c>
      <c r="I329">
        <v>0</v>
      </c>
      <c r="J329">
        <v>0</v>
      </c>
      <c r="K329">
        <v>0</v>
      </c>
      <c r="L329">
        <v>1</v>
      </c>
      <c r="M329">
        <v>1</v>
      </c>
      <c r="N329">
        <v>0</v>
      </c>
      <c r="O329">
        <v>1</v>
      </c>
      <c r="P329">
        <v>1</v>
      </c>
      <c r="Q329">
        <v>61.433333330000004</v>
      </c>
    </row>
    <row r="330" spans="1:17" x14ac:dyDescent="0.25">
      <c r="A330">
        <v>79</v>
      </c>
      <c r="B330">
        <v>21</v>
      </c>
      <c r="C330">
        <v>2</v>
      </c>
      <c r="D330">
        <v>2</v>
      </c>
      <c r="E330">
        <v>3</v>
      </c>
      <c r="F330">
        <v>4.0419999999999998</v>
      </c>
      <c r="G330">
        <v>1</v>
      </c>
      <c r="H330">
        <v>0</v>
      </c>
      <c r="I330">
        <v>0</v>
      </c>
      <c r="J330">
        <v>0</v>
      </c>
      <c r="K330">
        <v>0</v>
      </c>
      <c r="L330">
        <v>1</v>
      </c>
      <c r="M330">
        <v>1</v>
      </c>
      <c r="N330">
        <v>0</v>
      </c>
      <c r="O330">
        <v>1</v>
      </c>
      <c r="P330">
        <v>1</v>
      </c>
      <c r="Q330">
        <v>25.533333330000001</v>
      </c>
    </row>
    <row r="331" spans="1:17" x14ac:dyDescent="0.25">
      <c r="A331">
        <v>85</v>
      </c>
      <c r="B331">
        <v>21</v>
      </c>
      <c r="C331">
        <v>2</v>
      </c>
      <c r="D331">
        <v>1</v>
      </c>
      <c r="E331">
        <v>3</v>
      </c>
      <c r="F331">
        <v>5.0419999999999998</v>
      </c>
      <c r="G331">
        <v>1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0</v>
      </c>
      <c r="O331">
        <v>1</v>
      </c>
      <c r="P331">
        <v>0</v>
      </c>
      <c r="Q331">
        <v>96.633333329999999</v>
      </c>
    </row>
    <row r="332" spans="1:17" x14ac:dyDescent="0.25">
      <c r="A332">
        <v>69</v>
      </c>
      <c r="B332">
        <v>28</v>
      </c>
      <c r="C332">
        <v>2</v>
      </c>
      <c r="D332">
        <v>2</v>
      </c>
      <c r="E332">
        <v>22</v>
      </c>
      <c r="F332">
        <v>5.056</v>
      </c>
      <c r="G332">
        <v>0</v>
      </c>
      <c r="H332">
        <v>0</v>
      </c>
      <c r="I332">
        <v>1</v>
      </c>
      <c r="J332">
        <v>0</v>
      </c>
      <c r="K332">
        <v>0</v>
      </c>
      <c r="L332">
        <v>0</v>
      </c>
      <c r="M332">
        <v>1</v>
      </c>
      <c r="N332">
        <v>0</v>
      </c>
      <c r="O332">
        <v>1</v>
      </c>
      <c r="P332">
        <v>1</v>
      </c>
      <c r="Q332">
        <v>24.8</v>
      </c>
    </row>
    <row r="333" spans="1:17" x14ac:dyDescent="0.25">
      <c r="A333">
        <v>82</v>
      </c>
      <c r="B333">
        <v>24</v>
      </c>
      <c r="C333">
        <v>2</v>
      </c>
      <c r="D333">
        <v>0</v>
      </c>
      <c r="E333">
        <v>2</v>
      </c>
      <c r="F333">
        <v>2.048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</v>
      </c>
      <c r="P333">
        <v>1</v>
      </c>
      <c r="Q333">
        <v>69.400000000000006</v>
      </c>
    </row>
    <row r="334" spans="1:17" x14ac:dyDescent="0.25">
      <c r="A334">
        <v>69</v>
      </c>
      <c r="B334">
        <v>60</v>
      </c>
      <c r="C334">
        <v>1</v>
      </c>
      <c r="D334">
        <v>0</v>
      </c>
      <c r="E334">
        <v>4</v>
      </c>
      <c r="F334">
        <v>1.1200000000000001</v>
      </c>
      <c r="G334">
        <v>0</v>
      </c>
      <c r="H334">
        <v>0</v>
      </c>
      <c r="I334">
        <v>0</v>
      </c>
      <c r="J334">
        <v>0</v>
      </c>
      <c r="K334">
        <v>1</v>
      </c>
      <c r="L334">
        <v>1</v>
      </c>
      <c r="M334">
        <v>1</v>
      </c>
      <c r="N334">
        <v>0</v>
      </c>
      <c r="O334">
        <v>0</v>
      </c>
      <c r="P334">
        <v>0</v>
      </c>
      <c r="Q334">
        <v>111.0666667</v>
      </c>
    </row>
    <row r="335" spans="1:17" x14ac:dyDescent="0.25">
      <c r="A335">
        <v>35</v>
      </c>
      <c r="B335">
        <v>100</v>
      </c>
      <c r="C335">
        <v>3</v>
      </c>
      <c r="D335">
        <v>0</v>
      </c>
      <c r="E335">
        <v>4</v>
      </c>
      <c r="F335">
        <v>4.2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1</v>
      </c>
      <c r="O335">
        <v>0</v>
      </c>
      <c r="P335">
        <v>1</v>
      </c>
      <c r="Q335">
        <v>19.033333330000001</v>
      </c>
    </row>
    <row r="336" spans="1:17" x14ac:dyDescent="0.25">
      <c r="A336">
        <v>58</v>
      </c>
      <c r="B336">
        <v>100</v>
      </c>
      <c r="C336">
        <v>2</v>
      </c>
      <c r="D336">
        <v>0</v>
      </c>
      <c r="E336">
        <v>5</v>
      </c>
      <c r="F336">
        <v>3.2</v>
      </c>
      <c r="G336">
        <v>0</v>
      </c>
      <c r="H336">
        <v>0</v>
      </c>
      <c r="I336">
        <v>1</v>
      </c>
      <c r="J336">
        <v>0</v>
      </c>
      <c r="K336">
        <v>0</v>
      </c>
      <c r="L336">
        <v>1</v>
      </c>
      <c r="M336">
        <v>0</v>
      </c>
      <c r="N336">
        <v>0</v>
      </c>
      <c r="O336">
        <v>1</v>
      </c>
      <c r="P336">
        <v>1</v>
      </c>
      <c r="Q336">
        <v>30.43333333</v>
      </c>
    </row>
    <row r="337" spans="1:17" x14ac:dyDescent="0.25">
      <c r="A337">
        <v>60</v>
      </c>
      <c r="B337">
        <v>25</v>
      </c>
      <c r="C337">
        <v>2</v>
      </c>
      <c r="D337">
        <v>2</v>
      </c>
      <c r="E337">
        <v>3</v>
      </c>
      <c r="F337">
        <v>5.05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1</v>
      </c>
      <c r="M337">
        <v>1</v>
      </c>
      <c r="N337">
        <v>1</v>
      </c>
      <c r="O337">
        <v>1</v>
      </c>
      <c r="P337">
        <v>1</v>
      </c>
      <c r="Q337">
        <v>97.266666670000006</v>
      </c>
    </row>
    <row r="338" spans="1:17" x14ac:dyDescent="0.25">
      <c r="A338">
        <v>52</v>
      </c>
      <c r="B338">
        <v>160</v>
      </c>
      <c r="C338">
        <v>1</v>
      </c>
      <c r="D338">
        <v>22</v>
      </c>
      <c r="E338">
        <v>5</v>
      </c>
      <c r="F338">
        <v>6.32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1</v>
      </c>
      <c r="O338">
        <v>1</v>
      </c>
      <c r="P338">
        <v>1</v>
      </c>
      <c r="Q338">
        <v>18.93333333</v>
      </c>
    </row>
    <row r="339" spans="1:17" x14ac:dyDescent="0.25">
      <c r="A339">
        <v>50</v>
      </c>
      <c r="B339">
        <v>14</v>
      </c>
      <c r="C339">
        <v>1</v>
      </c>
      <c r="D339">
        <v>0</v>
      </c>
      <c r="E339">
        <v>4</v>
      </c>
      <c r="F339">
        <v>4.0279999999999996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0</v>
      </c>
      <c r="O339">
        <v>1</v>
      </c>
      <c r="P339">
        <v>1</v>
      </c>
      <c r="Q339">
        <v>69.8</v>
      </c>
    </row>
    <row r="340" spans="1:17" x14ac:dyDescent="0.25">
      <c r="A340">
        <v>57</v>
      </c>
      <c r="B340">
        <v>16</v>
      </c>
      <c r="C340">
        <v>1</v>
      </c>
      <c r="D340">
        <v>0</v>
      </c>
      <c r="E340">
        <v>1</v>
      </c>
      <c r="F340">
        <v>4.032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1</v>
      </c>
      <c r="M340">
        <v>0</v>
      </c>
      <c r="N340">
        <v>1</v>
      </c>
      <c r="O340">
        <v>0</v>
      </c>
      <c r="P340">
        <v>0</v>
      </c>
      <c r="Q340">
        <v>55.366666670000001</v>
      </c>
    </row>
    <row r="341" spans="1:17" x14ac:dyDescent="0.25">
      <c r="A341">
        <v>78</v>
      </c>
      <c r="B341">
        <v>84</v>
      </c>
      <c r="C341">
        <v>3</v>
      </c>
      <c r="D341">
        <v>10</v>
      </c>
      <c r="E341">
        <v>7</v>
      </c>
      <c r="F341">
        <v>6.1679999999999904</v>
      </c>
      <c r="G341">
        <v>1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1</v>
      </c>
      <c r="O341">
        <v>0</v>
      </c>
      <c r="P341">
        <v>1</v>
      </c>
      <c r="Q341">
        <v>11.06666667</v>
      </c>
    </row>
    <row r="342" spans="1:17" x14ac:dyDescent="0.25">
      <c r="A342">
        <v>61</v>
      </c>
      <c r="B342">
        <v>25</v>
      </c>
      <c r="C342">
        <v>2</v>
      </c>
      <c r="D342">
        <v>9</v>
      </c>
      <c r="E342">
        <v>1</v>
      </c>
      <c r="F342">
        <v>6.05</v>
      </c>
      <c r="G342">
        <v>1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1</v>
      </c>
      <c r="O342">
        <v>1</v>
      </c>
      <c r="P342">
        <v>1</v>
      </c>
      <c r="Q342">
        <v>24.333333329999999</v>
      </c>
    </row>
    <row r="343" spans="1:17" x14ac:dyDescent="0.25">
      <c r="A343">
        <v>59</v>
      </c>
      <c r="B343">
        <v>39</v>
      </c>
      <c r="C343">
        <v>2</v>
      </c>
      <c r="D343">
        <v>0</v>
      </c>
      <c r="E343">
        <v>2</v>
      </c>
      <c r="F343">
        <v>4.0780000000000003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1</v>
      </c>
      <c r="O343">
        <v>0</v>
      </c>
      <c r="P343">
        <v>1</v>
      </c>
      <c r="Q343">
        <v>16.600000000000001</v>
      </c>
    </row>
    <row r="344" spans="1:17" x14ac:dyDescent="0.25">
      <c r="A344">
        <v>79</v>
      </c>
      <c r="B344">
        <v>35</v>
      </c>
      <c r="C344">
        <v>2</v>
      </c>
      <c r="D344">
        <v>4</v>
      </c>
      <c r="E344">
        <v>4</v>
      </c>
      <c r="F344">
        <v>6.07</v>
      </c>
      <c r="G344">
        <v>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0</v>
      </c>
      <c r="O344">
        <v>0</v>
      </c>
      <c r="P344">
        <v>0</v>
      </c>
      <c r="Q344">
        <v>14.43333333</v>
      </c>
    </row>
    <row r="345" spans="1:17" x14ac:dyDescent="0.25">
      <c r="A345">
        <v>73</v>
      </c>
      <c r="B345">
        <v>30</v>
      </c>
      <c r="C345">
        <v>2</v>
      </c>
      <c r="D345">
        <v>0</v>
      </c>
      <c r="E345">
        <v>1</v>
      </c>
      <c r="F345">
        <v>2.06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1</v>
      </c>
      <c r="M345">
        <v>1</v>
      </c>
      <c r="N345">
        <v>0</v>
      </c>
      <c r="O345">
        <v>0</v>
      </c>
      <c r="P345">
        <v>0</v>
      </c>
      <c r="Q345">
        <v>1.233333333</v>
      </c>
    </row>
    <row r="346" spans="1:17" x14ac:dyDescent="0.25">
      <c r="A346">
        <v>73</v>
      </c>
      <c r="B346">
        <v>47</v>
      </c>
      <c r="C346">
        <v>2</v>
      </c>
      <c r="D346">
        <v>0</v>
      </c>
      <c r="E346">
        <v>1</v>
      </c>
      <c r="F346">
        <v>4.0939999999999896</v>
      </c>
      <c r="G346">
        <v>1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0</v>
      </c>
      <c r="O346">
        <v>1</v>
      </c>
      <c r="P346">
        <v>0</v>
      </c>
      <c r="Q346">
        <v>42.366666670000001</v>
      </c>
    </row>
    <row r="347" spans="1:17" x14ac:dyDescent="0.25">
      <c r="A347">
        <v>56</v>
      </c>
      <c r="B347">
        <v>23</v>
      </c>
      <c r="C347">
        <v>2</v>
      </c>
      <c r="D347">
        <v>15</v>
      </c>
      <c r="E347">
        <v>5</v>
      </c>
      <c r="F347">
        <v>6.0460000000000003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1</v>
      </c>
      <c r="O347">
        <v>1</v>
      </c>
      <c r="P347">
        <v>1</v>
      </c>
      <c r="Q347">
        <v>93.666666669999998</v>
      </c>
    </row>
    <row r="348" spans="1:17" x14ac:dyDescent="0.25">
      <c r="A348">
        <v>83</v>
      </c>
      <c r="B348">
        <v>37</v>
      </c>
      <c r="C348">
        <v>2</v>
      </c>
      <c r="D348">
        <v>2</v>
      </c>
      <c r="E348">
        <v>6</v>
      </c>
      <c r="F348">
        <v>3.0739999999999998</v>
      </c>
      <c r="G348">
        <v>1</v>
      </c>
      <c r="H348">
        <v>0</v>
      </c>
      <c r="I348">
        <v>0</v>
      </c>
      <c r="J348">
        <v>0</v>
      </c>
      <c r="K348">
        <v>0</v>
      </c>
      <c r="L348">
        <v>1</v>
      </c>
      <c r="M348">
        <v>1</v>
      </c>
      <c r="N348">
        <v>0</v>
      </c>
      <c r="O348">
        <v>1</v>
      </c>
      <c r="P348">
        <v>0</v>
      </c>
      <c r="Q348">
        <v>149.4</v>
      </c>
    </row>
    <row r="349" spans="1:17" x14ac:dyDescent="0.25">
      <c r="A349">
        <v>50</v>
      </c>
      <c r="B349">
        <v>25</v>
      </c>
      <c r="C349">
        <v>2</v>
      </c>
      <c r="D349">
        <v>3</v>
      </c>
      <c r="E349">
        <v>4</v>
      </c>
      <c r="F349">
        <v>4.05</v>
      </c>
      <c r="G349">
        <v>1</v>
      </c>
      <c r="H349">
        <v>0</v>
      </c>
      <c r="I349">
        <v>0</v>
      </c>
      <c r="J349">
        <v>0</v>
      </c>
      <c r="K349">
        <v>0</v>
      </c>
      <c r="L349">
        <v>1</v>
      </c>
      <c r="M349">
        <v>1</v>
      </c>
      <c r="N349">
        <v>1</v>
      </c>
      <c r="O349">
        <v>1</v>
      </c>
      <c r="P349">
        <v>0</v>
      </c>
      <c r="Q349">
        <v>175.8</v>
      </c>
    </row>
    <row r="350" spans="1:17" x14ac:dyDescent="0.25">
      <c r="A350">
        <v>68</v>
      </c>
      <c r="B350">
        <v>33</v>
      </c>
      <c r="C350">
        <v>2</v>
      </c>
      <c r="D350">
        <v>3</v>
      </c>
      <c r="E350">
        <v>3</v>
      </c>
      <c r="F350">
        <v>5.0659999999999998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1</v>
      </c>
      <c r="M350">
        <v>1</v>
      </c>
      <c r="N350">
        <v>1</v>
      </c>
      <c r="O350">
        <v>0</v>
      </c>
      <c r="P350">
        <v>1</v>
      </c>
      <c r="Q350">
        <v>136.16666669999901</v>
      </c>
    </row>
    <row r="351" spans="1:17" x14ac:dyDescent="0.25">
      <c r="A351">
        <v>57</v>
      </c>
      <c r="B351">
        <v>20</v>
      </c>
      <c r="C351">
        <v>1</v>
      </c>
      <c r="D351">
        <v>0</v>
      </c>
      <c r="E351">
        <v>3</v>
      </c>
      <c r="F351">
        <v>3.04</v>
      </c>
      <c r="G351">
        <v>1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0</v>
      </c>
      <c r="O351">
        <v>0</v>
      </c>
      <c r="P351">
        <v>1</v>
      </c>
      <c r="Q351">
        <v>59.7</v>
      </c>
    </row>
    <row r="352" spans="1:17" x14ac:dyDescent="0.25">
      <c r="A352">
        <v>52</v>
      </c>
      <c r="B352">
        <v>10</v>
      </c>
      <c r="C352">
        <v>1</v>
      </c>
      <c r="D352">
        <v>0</v>
      </c>
      <c r="E352">
        <v>10</v>
      </c>
      <c r="F352">
        <v>2.02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1</v>
      </c>
      <c r="M352">
        <v>1</v>
      </c>
      <c r="N352">
        <v>0</v>
      </c>
      <c r="O352">
        <v>0</v>
      </c>
      <c r="P352">
        <v>1</v>
      </c>
      <c r="Q352">
        <v>285.43333330000002</v>
      </c>
    </row>
    <row r="353" spans="1:17" x14ac:dyDescent="0.25">
      <c r="A353">
        <v>58</v>
      </c>
      <c r="B353">
        <v>25</v>
      </c>
      <c r="C353">
        <v>2</v>
      </c>
      <c r="D353">
        <v>1</v>
      </c>
      <c r="E353">
        <v>6</v>
      </c>
      <c r="F353">
        <v>3.05</v>
      </c>
      <c r="G353">
        <v>0</v>
      </c>
      <c r="H353">
        <v>1</v>
      </c>
      <c r="I353">
        <v>0</v>
      </c>
      <c r="J353">
        <v>0</v>
      </c>
      <c r="K353">
        <v>0</v>
      </c>
      <c r="L353">
        <v>1</v>
      </c>
      <c r="M353">
        <v>1</v>
      </c>
      <c r="N353">
        <v>0</v>
      </c>
      <c r="O353">
        <v>1</v>
      </c>
      <c r="P353">
        <v>0</v>
      </c>
      <c r="Q353">
        <v>280.7</v>
      </c>
    </row>
    <row r="354" spans="1:17" x14ac:dyDescent="0.25">
      <c r="A354">
        <v>59</v>
      </c>
      <c r="B354">
        <v>20</v>
      </c>
      <c r="C354">
        <v>1</v>
      </c>
      <c r="D354">
        <v>0</v>
      </c>
      <c r="E354">
        <v>6</v>
      </c>
      <c r="F354">
        <v>4.04</v>
      </c>
      <c r="G354">
        <v>1</v>
      </c>
      <c r="H354">
        <v>0</v>
      </c>
      <c r="I354">
        <v>0</v>
      </c>
      <c r="J354">
        <v>0</v>
      </c>
      <c r="K354">
        <v>0</v>
      </c>
      <c r="L354">
        <v>1</v>
      </c>
      <c r="M354">
        <v>1</v>
      </c>
      <c r="N354">
        <v>0</v>
      </c>
      <c r="O354">
        <v>1</v>
      </c>
      <c r="P354">
        <v>0</v>
      </c>
      <c r="Q354">
        <v>163.4</v>
      </c>
    </row>
    <row r="355" spans="1:17" x14ac:dyDescent="0.25">
      <c r="A355">
        <v>43</v>
      </c>
      <c r="B355">
        <v>15</v>
      </c>
      <c r="C355">
        <v>3</v>
      </c>
      <c r="D355">
        <v>10</v>
      </c>
      <c r="E355">
        <v>4</v>
      </c>
      <c r="F355">
        <v>4.03</v>
      </c>
      <c r="G355">
        <v>0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1</v>
      </c>
      <c r="O355">
        <v>0</v>
      </c>
      <c r="P355">
        <v>0</v>
      </c>
      <c r="Q355">
        <v>64.933333329999996</v>
      </c>
    </row>
    <row r="356" spans="1:17" x14ac:dyDescent="0.25">
      <c r="A356">
        <v>65</v>
      </c>
      <c r="B356">
        <v>18</v>
      </c>
      <c r="C356">
        <v>1</v>
      </c>
      <c r="D356">
        <v>0</v>
      </c>
      <c r="E356">
        <v>3</v>
      </c>
      <c r="F356">
        <v>3.036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0</v>
      </c>
      <c r="O356">
        <v>0</v>
      </c>
      <c r="P356">
        <v>1</v>
      </c>
      <c r="Q356">
        <v>219.16666669999901</v>
      </c>
    </row>
    <row r="357" spans="1:17" x14ac:dyDescent="0.25">
      <c r="A357">
        <v>63</v>
      </c>
      <c r="B357">
        <v>18</v>
      </c>
      <c r="C357">
        <v>1</v>
      </c>
      <c r="D357">
        <v>0</v>
      </c>
      <c r="E357">
        <v>11</v>
      </c>
      <c r="F357">
        <v>4.0359999999999996</v>
      </c>
      <c r="G357">
        <v>1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0</v>
      </c>
      <c r="O357">
        <v>1</v>
      </c>
      <c r="P357">
        <v>1</v>
      </c>
      <c r="Q357">
        <v>89.1</v>
      </c>
    </row>
    <row r="358" spans="1:17" x14ac:dyDescent="0.25">
      <c r="A358">
        <v>66</v>
      </c>
      <c r="B358">
        <v>16</v>
      </c>
      <c r="C358">
        <v>1</v>
      </c>
      <c r="D358">
        <v>0</v>
      </c>
      <c r="E358">
        <v>8</v>
      </c>
      <c r="F358">
        <v>3.032</v>
      </c>
      <c r="G358">
        <v>1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0</v>
      </c>
      <c r="O358">
        <v>0</v>
      </c>
      <c r="P358">
        <v>1</v>
      </c>
      <c r="Q358">
        <v>89.1</v>
      </c>
    </row>
    <row r="359" spans="1:17" x14ac:dyDescent="0.25">
      <c r="A359">
        <v>53</v>
      </c>
      <c r="B359">
        <v>14</v>
      </c>
      <c r="C359">
        <v>2</v>
      </c>
      <c r="D359">
        <v>2</v>
      </c>
      <c r="E359">
        <v>6</v>
      </c>
      <c r="F359">
        <v>3.028</v>
      </c>
      <c r="G359">
        <v>1</v>
      </c>
      <c r="H359">
        <v>0</v>
      </c>
      <c r="I359">
        <v>0</v>
      </c>
      <c r="J359">
        <v>0</v>
      </c>
      <c r="K359">
        <v>0</v>
      </c>
      <c r="L359">
        <v>1</v>
      </c>
      <c r="M359">
        <v>1</v>
      </c>
      <c r="N359">
        <v>0</v>
      </c>
      <c r="O359">
        <v>1</v>
      </c>
      <c r="P359">
        <v>1</v>
      </c>
      <c r="Q359">
        <v>128.53333329999899</v>
      </c>
    </row>
    <row r="360" spans="1:17" x14ac:dyDescent="0.25">
      <c r="A360">
        <v>62</v>
      </c>
      <c r="B360">
        <v>16</v>
      </c>
      <c r="C360">
        <v>1</v>
      </c>
      <c r="D360">
        <v>0</v>
      </c>
      <c r="E360">
        <v>3</v>
      </c>
      <c r="F360">
        <v>4.032</v>
      </c>
      <c r="G360">
        <v>1</v>
      </c>
      <c r="H360">
        <v>0</v>
      </c>
      <c r="I360">
        <v>0</v>
      </c>
      <c r="J360">
        <v>0</v>
      </c>
      <c r="K360">
        <v>0</v>
      </c>
      <c r="L360">
        <v>1</v>
      </c>
      <c r="M360">
        <v>1</v>
      </c>
      <c r="N360">
        <v>0</v>
      </c>
      <c r="O360">
        <v>1</v>
      </c>
      <c r="P360">
        <v>1</v>
      </c>
      <c r="Q360">
        <v>193.7</v>
      </c>
    </row>
    <row r="361" spans="1:17" x14ac:dyDescent="0.25">
      <c r="A361">
        <v>61</v>
      </c>
      <c r="B361">
        <v>15</v>
      </c>
      <c r="C361">
        <v>2</v>
      </c>
      <c r="D361">
        <v>1</v>
      </c>
      <c r="E361">
        <v>2</v>
      </c>
      <c r="F361">
        <v>5.03</v>
      </c>
      <c r="G361">
        <v>1</v>
      </c>
      <c r="H361">
        <v>0</v>
      </c>
      <c r="I361">
        <v>0</v>
      </c>
      <c r="J361">
        <v>0</v>
      </c>
      <c r="K361">
        <v>0</v>
      </c>
      <c r="L361">
        <v>1</v>
      </c>
      <c r="M361">
        <v>1</v>
      </c>
      <c r="N361">
        <v>0</v>
      </c>
      <c r="O361">
        <v>1</v>
      </c>
      <c r="P361">
        <v>1</v>
      </c>
      <c r="Q361">
        <v>279.10000000000002</v>
      </c>
    </row>
    <row r="362" spans="1:17" x14ac:dyDescent="0.25">
      <c r="A362">
        <v>36</v>
      </c>
      <c r="B362">
        <v>15</v>
      </c>
      <c r="C362">
        <v>2</v>
      </c>
      <c r="D362">
        <v>3</v>
      </c>
      <c r="E362">
        <v>7</v>
      </c>
      <c r="F362">
        <v>5.03</v>
      </c>
      <c r="G362">
        <v>1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1</v>
      </c>
      <c r="O362">
        <v>0</v>
      </c>
      <c r="P362">
        <v>1</v>
      </c>
      <c r="Q362">
        <v>19.100000000000001</v>
      </c>
    </row>
    <row r="363" spans="1:17" x14ac:dyDescent="0.25">
      <c r="A363">
        <v>30</v>
      </c>
      <c r="B363">
        <v>35</v>
      </c>
      <c r="C363">
        <v>2</v>
      </c>
      <c r="D363">
        <v>3</v>
      </c>
      <c r="E363">
        <v>5</v>
      </c>
      <c r="F363">
        <v>5.07</v>
      </c>
      <c r="G363">
        <v>1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1</v>
      </c>
      <c r="O363">
        <v>0</v>
      </c>
      <c r="P363">
        <v>1</v>
      </c>
      <c r="Q363">
        <v>45.166666669999998</v>
      </c>
    </row>
    <row r="364" spans="1:17" x14ac:dyDescent="0.25">
      <c r="A364">
        <v>34</v>
      </c>
      <c r="B364">
        <v>3</v>
      </c>
      <c r="C364">
        <v>1</v>
      </c>
      <c r="D364">
        <v>0</v>
      </c>
      <c r="E364">
        <v>2</v>
      </c>
      <c r="F364">
        <v>3.0059999999999998</v>
      </c>
      <c r="G364">
        <v>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1</v>
      </c>
      <c r="Q364">
        <v>52.966666670000002</v>
      </c>
    </row>
    <row r="365" spans="1:17" x14ac:dyDescent="0.25">
      <c r="A365">
        <v>69</v>
      </c>
      <c r="B365">
        <v>27</v>
      </c>
      <c r="C365">
        <v>3</v>
      </c>
      <c r="D365">
        <v>6</v>
      </c>
      <c r="E365">
        <v>5</v>
      </c>
      <c r="F365">
        <v>6.0539999999999896</v>
      </c>
      <c r="G365">
        <v>1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0</v>
      </c>
      <c r="O365">
        <v>1</v>
      </c>
      <c r="P365">
        <v>1</v>
      </c>
      <c r="Q365">
        <v>44.766666669999999</v>
      </c>
    </row>
    <row r="366" spans="1:17" x14ac:dyDescent="0.25">
      <c r="A366">
        <v>62</v>
      </c>
      <c r="B366">
        <v>24</v>
      </c>
      <c r="C366">
        <v>1</v>
      </c>
      <c r="D366">
        <v>0</v>
      </c>
      <c r="E366">
        <v>6</v>
      </c>
      <c r="F366">
        <v>3.048</v>
      </c>
      <c r="G366">
        <v>1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0</v>
      </c>
      <c r="O366">
        <v>1</v>
      </c>
      <c r="P366">
        <v>0</v>
      </c>
      <c r="Q366">
        <v>73.7</v>
      </c>
    </row>
    <row r="367" spans="1:17" x14ac:dyDescent="0.25">
      <c r="A367">
        <v>68</v>
      </c>
      <c r="B367">
        <v>17</v>
      </c>
      <c r="C367">
        <v>2</v>
      </c>
      <c r="D367">
        <v>1</v>
      </c>
      <c r="E367">
        <v>5</v>
      </c>
      <c r="F367">
        <v>5.0339999999999998</v>
      </c>
      <c r="G367">
        <v>1</v>
      </c>
      <c r="H367">
        <v>0</v>
      </c>
      <c r="I367">
        <v>0</v>
      </c>
      <c r="J367">
        <v>0</v>
      </c>
      <c r="K367">
        <v>0</v>
      </c>
      <c r="L367">
        <v>1</v>
      </c>
      <c r="M367">
        <v>1</v>
      </c>
      <c r="N367">
        <v>0</v>
      </c>
      <c r="O367">
        <v>1</v>
      </c>
      <c r="P367">
        <v>1</v>
      </c>
      <c r="Q367">
        <v>177.2666667</v>
      </c>
    </row>
    <row r="368" spans="1:17" x14ac:dyDescent="0.25">
      <c r="A368">
        <v>61</v>
      </c>
      <c r="B368">
        <v>15</v>
      </c>
      <c r="C368">
        <v>1</v>
      </c>
      <c r="D368">
        <v>0</v>
      </c>
      <c r="E368">
        <v>6</v>
      </c>
      <c r="F368">
        <v>3.03</v>
      </c>
      <c r="G368">
        <v>1</v>
      </c>
      <c r="H368">
        <v>0</v>
      </c>
      <c r="I368">
        <v>0</v>
      </c>
      <c r="J368">
        <v>0</v>
      </c>
      <c r="K368">
        <v>0</v>
      </c>
      <c r="L368">
        <v>1</v>
      </c>
      <c r="M368">
        <v>1</v>
      </c>
      <c r="N368">
        <v>0</v>
      </c>
      <c r="O368">
        <v>0</v>
      </c>
      <c r="P368">
        <v>1</v>
      </c>
      <c r="Q368">
        <v>163.7333333</v>
      </c>
    </row>
    <row r="369" spans="1:17" x14ac:dyDescent="0.25">
      <c r="A369">
        <v>66</v>
      </c>
      <c r="B369">
        <v>15</v>
      </c>
      <c r="C369">
        <v>1</v>
      </c>
      <c r="D369">
        <v>0</v>
      </c>
      <c r="E369">
        <v>8</v>
      </c>
      <c r="F369">
        <v>3.03</v>
      </c>
      <c r="G369">
        <v>0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1</v>
      </c>
      <c r="P369">
        <v>0</v>
      </c>
      <c r="Q369">
        <v>133.2333333</v>
      </c>
    </row>
    <row r="370" spans="1:17" x14ac:dyDescent="0.25">
      <c r="A370">
        <v>48</v>
      </c>
      <c r="B370">
        <v>15</v>
      </c>
      <c r="C370">
        <v>1</v>
      </c>
      <c r="D370">
        <v>0</v>
      </c>
      <c r="E370">
        <v>2</v>
      </c>
      <c r="F370">
        <v>3.03</v>
      </c>
      <c r="G370">
        <v>1</v>
      </c>
      <c r="H370">
        <v>0</v>
      </c>
      <c r="I370">
        <v>0</v>
      </c>
      <c r="J370">
        <v>0</v>
      </c>
      <c r="K370">
        <v>0</v>
      </c>
      <c r="L370">
        <v>1</v>
      </c>
      <c r="M370">
        <v>1</v>
      </c>
      <c r="N370">
        <v>0</v>
      </c>
      <c r="O370">
        <v>0</v>
      </c>
      <c r="P370">
        <v>0</v>
      </c>
      <c r="Q370">
        <v>201.46666669999999</v>
      </c>
    </row>
    <row r="371" spans="1:17" x14ac:dyDescent="0.25">
      <c r="A371">
        <v>47</v>
      </c>
      <c r="B371">
        <v>20</v>
      </c>
      <c r="C371">
        <v>2</v>
      </c>
      <c r="D371">
        <v>1</v>
      </c>
      <c r="E371">
        <v>3</v>
      </c>
      <c r="F371">
        <v>4.04</v>
      </c>
      <c r="G371">
        <v>0</v>
      </c>
      <c r="H371">
        <v>1</v>
      </c>
      <c r="I371">
        <v>0</v>
      </c>
      <c r="J371">
        <v>0</v>
      </c>
      <c r="K371">
        <v>0</v>
      </c>
      <c r="L371">
        <v>1</v>
      </c>
      <c r="M371">
        <v>1</v>
      </c>
      <c r="N371">
        <v>1</v>
      </c>
      <c r="O371">
        <v>0</v>
      </c>
      <c r="P371">
        <v>0</v>
      </c>
      <c r="Q371">
        <v>278.26666669999997</v>
      </c>
    </row>
    <row r="372" spans="1:17" x14ac:dyDescent="0.25">
      <c r="A372">
        <v>44</v>
      </c>
      <c r="B372">
        <v>9</v>
      </c>
      <c r="C372">
        <v>1</v>
      </c>
      <c r="D372">
        <v>0</v>
      </c>
      <c r="E372">
        <v>4</v>
      </c>
      <c r="F372">
        <v>2.0179999999999998</v>
      </c>
      <c r="G372">
        <v>1</v>
      </c>
      <c r="H372">
        <v>0</v>
      </c>
      <c r="I372">
        <v>0</v>
      </c>
      <c r="J372">
        <v>0</v>
      </c>
      <c r="K372">
        <v>0</v>
      </c>
      <c r="L372">
        <v>1</v>
      </c>
      <c r="M372">
        <v>1</v>
      </c>
      <c r="N372">
        <v>0</v>
      </c>
      <c r="O372">
        <v>0</v>
      </c>
      <c r="P372">
        <v>1</v>
      </c>
      <c r="Q372">
        <v>251.6333333</v>
      </c>
    </row>
    <row r="373" spans="1:17" x14ac:dyDescent="0.25">
      <c r="A373">
        <v>60</v>
      </c>
      <c r="B373">
        <v>8</v>
      </c>
      <c r="C373">
        <v>1</v>
      </c>
      <c r="D373">
        <v>0</v>
      </c>
      <c r="E373">
        <v>3</v>
      </c>
      <c r="F373">
        <v>4.016</v>
      </c>
      <c r="G373">
        <v>1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108.0666667</v>
      </c>
    </row>
    <row r="374" spans="1:17" x14ac:dyDescent="0.25">
      <c r="A374">
        <v>44</v>
      </c>
      <c r="B374">
        <v>15</v>
      </c>
      <c r="C374">
        <v>2</v>
      </c>
      <c r="D374">
        <v>3</v>
      </c>
      <c r="E374">
        <v>3</v>
      </c>
      <c r="F374">
        <v>3.03</v>
      </c>
      <c r="G374">
        <v>1</v>
      </c>
      <c r="H374">
        <v>0</v>
      </c>
      <c r="I374">
        <v>0</v>
      </c>
      <c r="J374">
        <v>0</v>
      </c>
      <c r="K374">
        <v>0</v>
      </c>
      <c r="L374">
        <v>1</v>
      </c>
      <c r="M374">
        <v>1</v>
      </c>
      <c r="N374">
        <v>0</v>
      </c>
      <c r="O374">
        <v>1</v>
      </c>
      <c r="P374">
        <v>1</v>
      </c>
      <c r="Q374">
        <v>236.93333329999999</v>
      </c>
    </row>
    <row r="375" spans="1:17" x14ac:dyDescent="0.25">
      <c r="A375">
        <v>28</v>
      </c>
      <c r="B375">
        <v>40</v>
      </c>
      <c r="C375">
        <v>3</v>
      </c>
      <c r="D375">
        <v>11</v>
      </c>
      <c r="E375">
        <v>7</v>
      </c>
      <c r="F375">
        <v>6.08</v>
      </c>
      <c r="G375">
        <v>1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1</v>
      </c>
      <c r="O375">
        <v>0</v>
      </c>
      <c r="P375">
        <v>1</v>
      </c>
      <c r="Q375">
        <v>51.4</v>
      </c>
    </row>
    <row r="376" spans="1:17" x14ac:dyDescent="0.25">
      <c r="A376">
        <v>61</v>
      </c>
      <c r="B376">
        <v>35</v>
      </c>
      <c r="C376">
        <v>3</v>
      </c>
      <c r="D376">
        <v>4</v>
      </c>
      <c r="E376">
        <v>10</v>
      </c>
      <c r="F376">
        <v>6.07</v>
      </c>
      <c r="G376">
        <v>1</v>
      </c>
      <c r="H376">
        <v>0</v>
      </c>
      <c r="I376">
        <v>0</v>
      </c>
      <c r="J376">
        <v>0</v>
      </c>
      <c r="K376">
        <v>0</v>
      </c>
      <c r="L376">
        <v>1</v>
      </c>
      <c r="M376">
        <v>1</v>
      </c>
      <c r="N376">
        <v>0</v>
      </c>
      <c r="O376">
        <v>1</v>
      </c>
      <c r="P376">
        <v>1</v>
      </c>
      <c r="Q376">
        <v>133.7333333</v>
      </c>
    </row>
    <row r="377" spans="1:17" x14ac:dyDescent="0.25">
      <c r="A377">
        <v>49</v>
      </c>
      <c r="B377">
        <v>12</v>
      </c>
      <c r="C377">
        <v>2</v>
      </c>
      <c r="D377">
        <v>1</v>
      </c>
      <c r="E377">
        <v>6</v>
      </c>
      <c r="F377">
        <v>5.024</v>
      </c>
      <c r="G377">
        <v>1</v>
      </c>
      <c r="H377">
        <v>0</v>
      </c>
      <c r="I377">
        <v>0</v>
      </c>
      <c r="J377">
        <v>0</v>
      </c>
      <c r="K377">
        <v>0</v>
      </c>
      <c r="L377">
        <v>1</v>
      </c>
      <c r="M377">
        <v>1</v>
      </c>
      <c r="N377">
        <v>1</v>
      </c>
      <c r="O377">
        <v>0</v>
      </c>
      <c r="P377">
        <v>1</v>
      </c>
      <c r="Q377">
        <v>274.5</v>
      </c>
    </row>
    <row r="378" spans="1:17" x14ac:dyDescent="0.25">
      <c r="A378">
        <v>48</v>
      </c>
      <c r="B378">
        <v>15</v>
      </c>
      <c r="C378">
        <v>2</v>
      </c>
      <c r="D378">
        <v>3</v>
      </c>
      <c r="E378">
        <v>7</v>
      </c>
      <c r="F378">
        <v>5.03</v>
      </c>
      <c r="G378">
        <v>1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1</v>
      </c>
      <c r="O378">
        <v>0</v>
      </c>
      <c r="P378">
        <v>1</v>
      </c>
      <c r="Q378">
        <v>24.9</v>
      </c>
    </row>
    <row r="379" spans="1:17" x14ac:dyDescent="0.25">
      <c r="A379">
        <v>45</v>
      </c>
      <c r="B379">
        <v>30</v>
      </c>
      <c r="C379">
        <v>1</v>
      </c>
      <c r="D379">
        <v>0</v>
      </c>
      <c r="E379">
        <v>5</v>
      </c>
      <c r="F379">
        <v>3.06</v>
      </c>
      <c r="G379">
        <v>0</v>
      </c>
      <c r="H379">
        <v>0</v>
      </c>
      <c r="I379">
        <v>1</v>
      </c>
      <c r="J379">
        <v>0</v>
      </c>
      <c r="K379">
        <v>0</v>
      </c>
      <c r="L379">
        <v>1</v>
      </c>
      <c r="M379">
        <v>1</v>
      </c>
      <c r="N379">
        <v>0</v>
      </c>
      <c r="O379">
        <v>1</v>
      </c>
      <c r="P379">
        <v>1</v>
      </c>
      <c r="Q379">
        <v>275.6333333</v>
      </c>
    </row>
    <row r="380" spans="1:17" x14ac:dyDescent="0.25">
      <c r="A380">
        <v>46</v>
      </c>
      <c r="B380">
        <v>30</v>
      </c>
      <c r="C380">
        <v>2</v>
      </c>
      <c r="D380">
        <v>1</v>
      </c>
      <c r="E380">
        <v>4</v>
      </c>
      <c r="F380">
        <v>4.0599999999999996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0</v>
      </c>
      <c r="O380">
        <v>1</v>
      </c>
      <c r="P380">
        <v>1</v>
      </c>
      <c r="Q380">
        <v>168.96666669999999</v>
      </c>
    </row>
    <row r="381" spans="1:17" x14ac:dyDescent="0.25">
      <c r="A381">
        <v>51</v>
      </c>
      <c r="B381">
        <v>35</v>
      </c>
      <c r="C381">
        <v>1</v>
      </c>
      <c r="D381">
        <v>0</v>
      </c>
      <c r="E381">
        <v>5</v>
      </c>
      <c r="F381">
        <v>3.07</v>
      </c>
      <c r="G381">
        <v>0</v>
      </c>
      <c r="H381">
        <v>1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0</v>
      </c>
      <c r="O381">
        <v>1</v>
      </c>
      <c r="P381">
        <v>0</v>
      </c>
      <c r="Q381">
        <v>81.933333329999996</v>
      </c>
    </row>
    <row r="382" spans="1:17" x14ac:dyDescent="0.25">
      <c r="A382">
        <v>30</v>
      </c>
      <c r="B382">
        <v>37</v>
      </c>
      <c r="C382">
        <v>2</v>
      </c>
      <c r="D382">
        <v>1</v>
      </c>
      <c r="E382">
        <v>6</v>
      </c>
      <c r="F382">
        <v>5.0739999999999998</v>
      </c>
      <c r="G382">
        <v>1</v>
      </c>
      <c r="H382">
        <v>0</v>
      </c>
      <c r="I382">
        <v>0</v>
      </c>
      <c r="J382">
        <v>0</v>
      </c>
      <c r="K382">
        <v>0</v>
      </c>
      <c r="L382">
        <v>1</v>
      </c>
      <c r="M382">
        <v>1</v>
      </c>
      <c r="N382">
        <v>1</v>
      </c>
      <c r="O382">
        <v>0</v>
      </c>
      <c r="P382">
        <v>1</v>
      </c>
      <c r="Q382">
        <v>274.39999999999998</v>
      </c>
    </row>
    <row r="383" spans="1:17" x14ac:dyDescent="0.25">
      <c r="A383">
        <v>66</v>
      </c>
      <c r="B383">
        <v>35</v>
      </c>
      <c r="C383">
        <v>1</v>
      </c>
      <c r="D383">
        <v>0</v>
      </c>
      <c r="E383">
        <v>2</v>
      </c>
      <c r="F383">
        <v>3.07</v>
      </c>
      <c r="G383">
        <v>0</v>
      </c>
      <c r="H383">
        <v>0</v>
      </c>
      <c r="I383">
        <v>1</v>
      </c>
      <c r="J383">
        <v>0</v>
      </c>
      <c r="K383">
        <v>0</v>
      </c>
      <c r="L383">
        <v>0</v>
      </c>
      <c r="M383">
        <v>1</v>
      </c>
      <c r="N383">
        <v>0</v>
      </c>
      <c r="O383">
        <v>1</v>
      </c>
      <c r="P383">
        <v>0</v>
      </c>
      <c r="Q383">
        <v>203.53333330000001</v>
      </c>
    </row>
    <row r="384" spans="1:17" x14ac:dyDescent="0.25">
      <c r="A384">
        <v>38</v>
      </c>
      <c r="B384">
        <v>45</v>
      </c>
      <c r="C384">
        <v>3</v>
      </c>
      <c r="D384">
        <v>4</v>
      </c>
      <c r="E384">
        <v>4</v>
      </c>
      <c r="F384">
        <v>6.09</v>
      </c>
      <c r="G384">
        <v>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1</v>
      </c>
      <c r="O384">
        <v>0</v>
      </c>
      <c r="P384">
        <v>0</v>
      </c>
      <c r="Q384">
        <v>35</v>
      </c>
    </row>
    <row r="385" spans="1:17" x14ac:dyDescent="0.25">
      <c r="A385">
        <v>63</v>
      </c>
      <c r="B385">
        <v>15</v>
      </c>
      <c r="C385">
        <v>2</v>
      </c>
      <c r="D385">
        <v>2</v>
      </c>
      <c r="E385">
        <v>4</v>
      </c>
      <c r="F385">
        <v>4.03</v>
      </c>
      <c r="G385">
        <v>1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0</v>
      </c>
      <c r="O385">
        <v>1</v>
      </c>
      <c r="P385">
        <v>1</v>
      </c>
      <c r="Q385">
        <v>118.033333299999</v>
      </c>
    </row>
    <row r="386" spans="1:17" x14ac:dyDescent="0.25">
      <c r="A386">
        <v>70</v>
      </c>
      <c r="B386">
        <v>26</v>
      </c>
      <c r="C386">
        <v>1</v>
      </c>
      <c r="D386">
        <v>0</v>
      </c>
      <c r="E386">
        <v>7</v>
      </c>
      <c r="F386">
        <v>3.052</v>
      </c>
      <c r="G386">
        <v>0</v>
      </c>
      <c r="H386">
        <v>0</v>
      </c>
      <c r="I386">
        <v>0</v>
      </c>
      <c r="J386">
        <v>1</v>
      </c>
      <c r="K386">
        <v>0</v>
      </c>
      <c r="L386">
        <v>1</v>
      </c>
      <c r="M386">
        <v>1</v>
      </c>
      <c r="N386">
        <v>0</v>
      </c>
      <c r="O386">
        <v>1</v>
      </c>
      <c r="P386">
        <v>0</v>
      </c>
      <c r="Q386">
        <v>275.60000000000002</v>
      </c>
    </row>
    <row r="387" spans="1:17" x14ac:dyDescent="0.25">
      <c r="A387">
        <v>57</v>
      </c>
      <c r="B387">
        <v>15</v>
      </c>
      <c r="C387">
        <v>2</v>
      </c>
      <c r="D387">
        <v>1</v>
      </c>
      <c r="E387">
        <v>2</v>
      </c>
      <c r="F387">
        <v>4.03</v>
      </c>
      <c r="G387">
        <v>1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0</v>
      </c>
      <c r="O387">
        <v>1</v>
      </c>
      <c r="P387">
        <v>1</v>
      </c>
      <c r="Q387">
        <v>270.1333333</v>
      </c>
    </row>
    <row r="388" spans="1:17" x14ac:dyDescent="0.25">
      <c r="A388">
        <v>53</v>
      </c>
      <c r="B388">
        <v>21</v>
      </c>
      <c r="C388">
        <v>2</v>
      </c>
      <c r="D388">
        <v>1</v>
      </c>
      <c r="E388">
        <v>3</v>
      </c>
      <c r="F388">
        <v>5.0419999999999998</v>
      </c>
      <c r="G388">
        <v>1</v>
      </c>
      <c r="H388">
        <v>0</v>
      </c>
      <c r="I388">
        <v>0</v>
      </c>
      <c r="J388">
        <v>0</v>
      </c>
      <c r="K388">
        <v>0</v>
      </c>
      <c r="L388">
        <v>1</v>
      </c>
      <c r="M388">
        <v>1</v>
      </c>
      <c r="N388">
        <v>0</v>
      </c>
      <c r="O388">
        <v>1</v>
      </c>
      <c r="P388">
        <v>1</v>
      </c>
      <c r="Q388">
        <v>271.33333329999999</v>
      </c>
    </row>
    <row r="389" spans="1:17" x14ac:dyDescent="0.25">
      <c r="A389">
        <v>59</v>
      </c>
      <c r="B389">
        <v>15</v>
      </c>
      <c r="C389">
        <v>1</v>
      </c>
      <c r="D389">
        <v>0</v>
      </c>
      <c r="E389">
        <v>4</v>
      </c>
      <c r="F389">
        <v>3.03</v>
      </c>
      <c r="G389">
        <v>0</v>
      </c>
      <c r="H389">
        <v>0</v>
      </c>
      <c r="I389">
        <v>1</v>
      </c>
      <c r="J389">
        <v>0</v>
      </c>
      <c r="K389">
        <v>0</v>
      </c>
      <c r="L389">
        <v>1</v>
      </c>
      <c r="M389">
        <v>1</v>
      </c>
      <c r="N389">
        <v>0</v>
      </c>
      <c r="O389">
        <v>0</v>
      </c>
      <c r="P389">
        <v>1</v>
      </c>
      <c r="Q389">
        <v>160</v>
      </c>
    </row>
    <row r="390" spans="1:17" x14ac:dyDescent="0.25">
      <c r="A390">
        <v>60</v>
      </c>
      <c r="B390">
        <v>45</v>
      </c>
      <c r="C390">
        <v>3</v>
      </c>
      <c r="D390">
        <v>5</v>
      </c>
      <c r="E390">
        <v>10</v>
      </c>
      <c r="F390">
        <v>5.09</v>
      </c>
      <c r="G390">
        <v>0</v>
      </c>
      <c r="H390">
        <v>0</v>
      </c>
      <c r="I390">
        <v>1</v>
      </c>
      <c r="J390">
        <v>0</v>
      </c>
      <c r="K390">
        <v>0</v>
      </c>
      <c r="L390">
        <v>1</v>
      </c>
      <c r="M390">
        <v>1</v>
      </c>
      <c r="N390">
        <v>0</v>
      </c>
      <c r="O390">
        <v>1</v>
      </c>
      <c r="P390">
        <v>0</v>
      </c>
      <c r="Q390">
        <v>274.3666667</v>
      </c>
    </row>
    <row r="391" spans="1:17" x14ac:dyDescent="0.25">
      <c r="A391">
        <v>56</v>
      </c>
      <c r="B391">
        <v>16</v>
      </c>
      <c r="C391">
        <v>1</v>
      </c>
      <c r="D391">
        <v>0</v>
      </c>
      <c r="E391">
        <v>7</v>
      </c>
      <c r="F391">
        <v>4.032</v>
      </c>
      <c r="G391">
        <v>1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0</v>
      </c>
      <c r="O391">
        <v>1</v>
      </c>
      <c r="P391">
        <v>1</v>
      </c>
      <c r="Q391">
        <v>44.833333330000002</v>
      </c>
    </row>
    <row r="392" spans="1:17" x14ac:dyDescent="0.25">
      <c r="A392">
        <v>62</v>
      </c>
      <c r="B392">
        <v>17</v>
      </c>
      <c r="C392">
        <v>2</v>
      </c>
      <c r="D392">
        <v>1</v>
      </c>
      <c r="E392">
        <v>6</v>
      </c>
      <c r="F392">
        <v>4.0339999999999998</v>
      </c>
      <c r="G392">
        <v>1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0</v>
      </c>
      <c r="O392">
        <v>1</v>
      </c>
      <c r="P392">
        <v>0</v>
      </c>
      <c r="Q392">
        <v>181.2333333</v>
      </c>
    </row>
    <row r="393" spans="1:17" x14ac:dyDescent="0.25">
      <c r="A393">
        <v>36</v>
      </c>
      <c r="B393">
        <v>20</v>
      </c>
      <c r="C393">
        <v>1</v>
      </c>
      <c r="D393">
        <v>0</v>
      </c>
      <c r="E393">
        <v>6</v>
      </c>
      <c r="F393">
        <v>3.04</v>
      </c>
      <c r="G393">
        <v>1</v>
      </c>
      <c r="H393">
        <v>0</v>
      </c>
      <c r="I393">
        <v>0</v>
      </c>
      <c r="J393">
        <v>0</v>
      </c>
      <c r="K393">
        <v>0</v>
      </c>
      <c r="L393">
        <v>1</v>
      </c>
      <c r="M393">
        <v>1</v>
      </c>
      <c r="N393">
        <v>0</v>
      </c>
      <c r="O393">
        <v>0</v>
      </c>
      <c r="P393">
        <v>1</v>
      </c>
      <c r="Q393">
        <v>275.23333330000003</v>
      </c>
    </row>
    <row r="394" spans="1:17" x14ac:dyDescent="0.25">
      <c r="A394">
        <v>62</v>
      </c>
      <c r="B394">
        <v>28</v>
      </c>
      <c r="C394">
        <v>2</v>
      </c>
      <c r="D394">
        <v>3</v>
      </c>
      <c r="E394">
        <v>5</v>
      </c>
      <c r="F394">
        <v>5.056</v>
      </c>
      <c r="G394">
        <v>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0</v>
      </c>
      <c r="O394">
        <v>1</v>
      </c>
      <c r="P394">
        <v>1</v>
      </c>
      <c r="Q394">
        <v>68.266666670000006</v>
      </c>
    </row>
    <row r="395" spans="1:17" x14ac:dyDescent="0.25">
      <c r="A395">
        <v>47</v>
      </c>
      <c r="B395">
        <v>25</v>
      </c>
      <c r="C395">
        <v>1</v>
      </c>
      <c r="D395">
        <v>0</v>
      </c>
      <c r="E395">
        <v>8</v>
      </c>
      <c r="F395">
        <v>3.05</v>
      </c>
      <c r="G395">
        <v>0</v>
      </c>
      <c r="H395">
        <v>1</v>
      </c>
      <c r="I395">
        <v>0</v>
      </c>
      <c r="J395">
        <v>0</v>
      </c>
      <c r="K395">
        <v>0</v>
      </c>
      <c r="L395">
        <v>1</v>
      </c>
      <c r="M395">
        <v>1</v>
      </c>
      <c r="N395">
        <v>0</v>
      </c>
      <c r="O395">
        <v>0</v>
      </c>
      <c r="P395">
        <v>0</v>
      </c>
      <c r="Q395">
        <v>116.93333329999901</v>
      </c>
    </row>
    <row r="396" spans="1:17" x14ac:dyDescent="0.25">
      <c r="A396">
        <v>40</v>
      </c>
      <c r="B396">
        <v>17</v>
      </c>
      <c r="C396">
        <v>1</v>
      </c>
      <c r="D396">
        <v>0</v>
      </c>
      <c r="E396">
        <v>12</v>
      </c>
      <c r="F396">
        <v>3.0339999999999998</v>
      </c>
      <c r="G396">
        <v>1</v>
      </c>
      <c r="H396">
        <v>0</v>
      </c>
      <c r="I396">
        <v>0</v>
      </c>
      <c r="J396">
        <v>0</v>
      </c>
      <c r="K396">
        <v>0</v>
      </c>
      <c r="L396">
        <v>1</v>
      </c>
      <c r="M396">
        <v>1</v>
      </c>
      <c r="N396">
        <v>0</v>
      </c>
      <c r="O396">
        <v>0</v>
      </c>
      <c r="P396">
        <v>1</v>
      </c>
      <c r="Q396">
        <v>271.93333330000002</v>
      </c>
    </row>
    <row r="397" spans="1:17" x14ac:dyDescent="0.25">
      <c r="A397">
        <v>50</v>
      </c>
      <c r="B397">
        <v>35</v>
      </c>
      <c r="C397">
        <v>2</v>
      </c>
      <c r="D397">
        <v>1</v>
      </c>
      <c r="E397">
        <v>2</v>
      </c>
      <c r="F397">
        <v>4.07</v>
      </c>
      <c r="G397">
        <v>1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0</v>
      </c>
      <c r="O397">
        <v>1</v>
      </c>
      <c r="P397">
        <v>0</v>
      </c>
      <c r="Q397">
        <v>110.7666667</v>
      </c>
    </row>
    <row r="398" spans="1:17" x14ac:dyDescent="0.25">
      <c r="A398">
        <v>67</v>
      </c>
      <c r="B398">
        <v>25</v>
      </c>
      <c r="C398">
        <v>1</v>
      </c>
      <c r="D398">
        <v>0</v>
      </c>
      <c r="E398">
        <v>3</v>
      </c>
      <c r="F398">
        <v>3.05</v>
      </c>
      <c r="G398">
        <v>1</v>
      </c>
      <c r="H398">
        <v>0</v>
      </c>
      <c r="I398">
        <v>0</v>
      </c>
      <c r="J398">
        <v>0</v>
      </c>
      <c r="K398">
        <v>0</v>
      </c>
      <c r="L398">
        <v>1</v>
      </c>
      <c r="M398">
        <v>1</v>
      </c>
      <c r="N398">
        <v>0</v>
      </c>
      <c r="O398">
        <v>1</v>
      </c>
      <c r="P398">
        <v>0</v>
      </c>
      <c r="Q398">
        <v>267.23333330000003</v>
      </c>
    </row>
    <row r="399" spans="1:17" x14ac:dyDescent="0.25">
      <c r="A399">
        <v>42</v>
      </c>
      <c r="B399">
        <v>12</v>
      </c>
      <c r="C399">
        <v>1</v>
      </c>
      <c r="D399">
        <v>0</v>
      </c>
      <c r="E399">
        <v>3</v>
      </c>
      <c r="F399">
        <v>3.0239999999999898</v>
      </c>
      <c r="G399">
        <v>1</v>
      </c>
      <c r="H399">
        <v>0</v>
      </c>
      <c r="I399">
        <v>0</v>
      </c>
      <c r="J399">
        <v>0</v>
      </c>
      <c r="K399">
        <v>0</v>
      </c>
      <c r="L399">
        <v>1</v>
      </c>
      <c r="M399">
        <v>1</v>
      </c>
      <c r="N399">
        <v>0</v>
      </c>
      <c r="O399">
        <v>0</v>
      </c>
      <c r="P399">
        <v>1</v>
      </c>
      <c r="Q399">
        <v>272.10000000000002</v>
      </c>
    </row>
    <row r="400" spans="1:17" x14ac:dyDescent="0.25">
      <c r="A400">
        <v>57</v>
      </c>
      <c r="B400">
        <v>20</v>
      </c>
      <c r="C400">
        <v>2</v>
      </c>
      <c r="D400">
        <v>1</v>
      </c>
      <c r="E400">
        <v>5</v>
      </c>
      <c r="F400">
        <v>5.04</v>
      </c>
      <c r="G400">
        <v>0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0</v>
      </c>
      <c r="O400">
        <v>1</v>
      </c>
      <c r="P400">
        <v>1</v>
      </c>
      <c r="Q400">
        <v>87.7</v>
      </c>
    </row>
    <row r="401" spans="1:17" x14ac:dyDescent="0.25">
      <c r="A401">
        <v>50</v>
      </c>
      <c r="B401">
        <v>15</v>
      </c>
      <c r="C401">
        <v>1</v>
      </c>
      <c r="D401">
        <v>0</v>
      </c>
      <c r="E401">
        <v>4</v>
      </c>
      <c r="F401">
        <v>2.0299999999999998</v>
      </c>
      <c r="G401">
        <v>0</v>
      </c>
      <c r="H401">
        <v>1</v>
      </c>
      <c r="I401">
        <v>0</v>
      </c>
      <c r="J401">
        <v>0</v>
      </c>
      <c r="K401">
        <v>0</v>
      </c>
      <c r="L401">
        <v>1</v>
      </c>
      <c r="M401">
        <v>1</v>
      </c>
      <c r="N401">
        <v>0</v>
      </c>
      <c r="O401">
        <v>0</v>
      </c>
      <c r="P401">
        <v>0</v>
      </c>
      <c r="Q401">
        <v>252.96666669999999</v>
      </c>
    </row>
    <row r="402" spans="1:17" x14ac:dyDescent="0.25">
      <c r="A402">
        <v>70</v>
      </c>
      <c r="B402">
        <v>13</v>
      </c>
      <c r="C402">
        <v>2</v>
      </c>
      <c r="D402">
        <v>1</v>
      </c>
      <c r="E402">
        <v>8</v>
      </c>
      <c r="F402">
        <v>4.0259999999999998</v>
      </c>
      <c r="G402">
        <v>1</v>
      </c>
      <c r="H402">
        <v>0</v>
      </c>
      <c r="I402">
        <v>0</v>
      </c>
      <c r="J402">
        <v>0</v>
      </c>
      <c r="K402">
        <v>0</v>
      </c>
      <c r="L402">
        <v>1</v>
      </c>
      <c r="M402">
        <v>1</v>
      </c>
      <c r="N402">
        <v>0</v>
      </c>
      <c r="O402">
        <v>1</v>
      </c>
      <c r="P402">
        <v>1</v>
      </c>
      <c r="Q402">
        <v>271.26666669999997</v>
      </c>
    </row>
    <row r="403" spans="1:17" x14ac:dyDescent="0.25">
      <c r="A403">
        <v>63</v>
      </c>
      <c r="B403">
        <v>18</v>
      </c>
      <c r="C403">
        <v>1</v>
      </c>
      <c r="D403">
        <v>0</v>
      </c>
      <c r="E403">
        <v>4</v>
      </c>
      <c r="F403">
        <v>3.036</v>
      </c>
      <c r="G403">
        <v>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0</v>
      </c>
      <c r="O403">
        <v>0</v>
      </c>
      <c r="P403">
        <v>1</v>
      </c>
      <c r="Q403">
        <v>85.866666670000001</v>
      </c>
    </row>
    <row r="404" spans="1:17" x14ac:dyDescent="0.25">
      <c r="A404">
        <v>64</v>
      </c>
      <c r="B404">
        <v>22</v>
      </c>
      <c r="C404">
        <v>1</v>
      </c>
      <c r="D404">
        <v>0</v>
      </c>
      <c r="E404">
        <v>2</v>
      </c>
      <c r="F404">
        <v>2.044</v>
      </c>
      <c r="G404">
        <v>0</v>
      </c>
      <c r="H404">
        <v>1</v>
      </c>
      <c r="I404">
        <v>0</v>
      </c>
      <c r="J404">
        <v>0</v>
      </c>
      <c r="K404">
        <v>0</v>
      </c>
      <c r="L404">
        <v>1</v>
      </c>
      <c r="M404">
        <v>1</v>
      </c>
      <c r="N404">
        <v>0</v>
      </c>
      <c r="O404">
        <v>0</v>
      </c>
      <c r="P404">
        <v>1</v>
      </c>
      <c r="Q404">
        <v>257.56666669999998</v>
      </c>
    </row>
    <row r="405" spans="1:17" x14ac:dyDescent="0.25">
      <c r="A405">
        <v>61</v>
      </c>
      <c r="B405">
        <v>19</v>
      </c>
      <c r="C405">
        <v>1</v>
      </c>
      <c r="D405">
        <v>0</v>
      </c>
      <c r="E405">
        <v>4</v>
      </c>
      <c r="F405">
        <v>2.0379999999999998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1</v>
      </c>
      <c r="M405">
        <v>1</v>
      </c>
      <c r="N405">
        <v>0</v>
      </c>
      <c r="O405">
        <v>0</v>
      </c>
      <c r="P405">
        <v>0</v>
      </c>
      <c r="Q405">
        <v>270.56666669999998</v>
      </c>
    </row>
    <row r="406" spans="1:17" x14ac:dyDescent="0.25">
      <c r="A406">
        <v>40</v>
      </c>
      <c r="B406">
        <v>18</v>
      </c>
      <c r="C406">
        <v>1</v>
      </c>
      <c r="D406">
        <v>0</v>
      </c>
      <c r="E406">
        <v>6</v>
      </c>
      <c r="F406">
        <v>4.0359999999999996</v>
      </c>
      <c r="G406">
        <v>1</v>
      </c>
      <c r="H406">
        <v>0</v>
      </c>
      <c r="I406">
        <v>0</v>
      </c>
      <c r="J406">
        <v>0</v>
      </c>
      <c r="K406">
        <v>0</v>
      </c>
      <c r="L406">
        <v>1</v>
      </c>
      <c r="M406">
        <v>1</v>
      </c>
      <c r="N406">
        <v>0</v>
      </c>
      <c r="O406">
        <v>1</v>
      </c>
      <c r="P406">
        <v>1</v>
      </c>
      <c r="Q406">
        <v>254.6333333</v>
      </c>
    </row>
    <row r="407" spans="1:17" x14ac:dyDescent="0.25">
      <c r="A407">
        <v>35</v>
      </c>
      <c r="B407">
        <v>11</v>
      </c>
      <c r="C407">
        <v>1</v>
      </c>
      <c r="D407">
        <v>0</v>
      </c>
      <c r="E407">
        <v>5</v>
      </c>
      <c r="F407">
        <v>4.0220000000000002</v>
      </c>
      <c r="G407">
        <v>0</v>
      </c>
      <c r="H407">
        <v>1</v>
      </c>
      <c r="I407">
        <v>0</v>
      </c>
      <c r="J407">
        <v>0</v>
      </c>
      <c r="K407">
        <v>0</v>
      </c>
      <c r="L407">
        <v>1</v>
      </c>
      <c r="M407">
        <v>1</v>
      </c>
      <c r="N407">
        <v>0</v>
      </c>
      <c r="O407">
        <v>1</v>
      </c>
      <c r="P407">
        <v>1</v>
      </c>
      <c r="Q407">
        <v>269.89999999999998</v>
      </c>
    </row>
    <row r="408" spans="1:17" x14ac:dyDescent="0.25">
      <c r="A408">
        <v>36</v>
      </c>
      <c r="B408">
        <v>11</v>
      </c>
      <c r="C408">
        <v>2</v>
      </c>
      <c r="D408">
        <v>1</v>
      </c>
      <c r="E408">
        <v>4</v>
      </c>
      <c r="F408">
        <v>5.0220000000000002</v>
      </c>
      <c r="G408">
        <v>1</v>
      </c>
      <c r="H408">
        <v>0</v>
      </c>
      <c r="I408">
        <v>0</v>
      </c>
      <c r="J408">
        <v>0</v>
      </c>
      <c r="K408">
        <v>0</v>
      </c>
      <c r="L408">
        <v>1</v>
      </c>
      <c r="M408">
        <v>1</v>
      </c>
      <c r="N408">
        <v>1</v>
      </c>
      <c r="O408">
        <v>0</v>
      </c>
      <c r="P408">
        <v>1</v>
      </c>
      <c r="Q408">
        <v>235.66666669999901</v>
      </c>
    </row>
    <row r="409" spans="1:17" x14ac:dyDescent="0.25">
      <c r="A409">
        <v>42</v>
      </c>
      <c r="B409">
        <v>23</v>
      </c>
      <c r="C409">
        <v>2</v>
      </c>
      <c r="D409">
        <v>2</v>
      </c>
      <c r="E409">
        <v>5</v>
      </c>
      <c r="F409">
        <v>5.0460000000000003</v>
      </c>
      <c r="G409">
        <v>1</v>
      </c>
      <c r="H409">
        <v>0</v>
      </c>
      <c r="I409">
        <v>0</v>
      </c>
      <c r="J409">
        <v>0</v>
      </c>
      <c r="K409">
        <v>0</v>
      </c>
      <c r="L409">
        <v>1</v>
      </c>
      <c r="M409">
        <v>1</v>
      </c>
      <c r="N409">
        <v>1</v>
      </c>
      <c r="O409">
        <v>0</v>
      </c>
      <c r="P409">
        <v>1</v>
      </c>
      <c r="Q409">
        <v>259.76666669999997</v>
      </c>
    </row>
    <row r="410" spans="1:17" x14ac:dyDescent="0.25">
      <c r="A410">
        <v>67</v>
      </c>
      <c r="B410">
        <v>27</v>
      </c>
      <c r="C410">
        <v>1</v>
      </c>
      <c r="D410">
        <v>0</v>
      </c>
      <c r="E410">
        <v>12</v>
      </c>
      <c r="F410">
        <v>3.0539999999999998</v>
      </c>
      <c r="G410">
        <v>1</v>
      </c>
      <c r="H410">
        <v>0</v>
      </c>
      <c r="I410">
        <v>0</v>
      </c>
      <c r="J410">
        <v>0</v>
      </c>
      <c r="K410">
        <v>0</v>
      </c>
      <c r="L410">
        <v>1</v>
      </c>
      <c r="M410">
        <v>1</v>
      </c>
      <c r="N410">
        <v>0</v>
      </c>
      <c r="O410">
        <v>1</v>
      </c>
      <c r="P410">
        <v>0</v>
      </c>
      <c r="Q410">
        <v>270.3</v>
      </c>
    </row>
    <row r="411" spans="1:17" x14ac:dyDescent="0.25">
      <c r="A411">
        <v>60</v>
      </c>
      <c r="B411">
        <v>14</v>
      </c>
      <c r="C411">
        <v>1</v>
      </c>
      <c r="D411">
        <v>0</v>
      </c>
      <c r="E411">
        <v>6</v>
      </c>
      <c r="F411">
        <v>3.028</v>
      </c>
      <c r="G411">
        <v>0</v>
      </c>
      <c r="H411">
        <v>0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0</v>
      </c>
      <c r="P411">
        <v>0</v>
      </c>
      <c r="Q411">
        <v>269</v>
      </c>
    </row>
    <row r="412" spans="1:17" x14ac:dyDescent="0.25">
      <c r="A412">
        <v>58</v>
      </c>
      <c r="B412">
        <v>27</v>
      </c>
      <c r="C412">
        <v>2</v>
      </c>
      <c r="D412">
        <v>1</v>
      </c>
      <c r="E412">
        <v>11</v>
      </c>
      <c r="F412">
        <v>5.0539999999999896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1</v>
      </c>
      <c r="O412">
        <v>0</v>
      </c>
      <c r="P412">
        <v>1</v>
      </c>
      <c r="Q412">
        <v>19.733333330000001</v>
      </c>
    </row>
    <row r="413" spans="1:17" x14ac:dyDescent="0.25">
      <c r="A413">
        <v>60</v>
      </c>
      <c r="B413">
        <v>19</v>
      </c>
      <c r="C413">
        <v>1</v>
      </c>
      <c r="D413">
        <v>0</v>
      </c>
      <c r="E413">
        <v>8</v>
      </c>
      <c r="F413">
        <v>4.0380000000000003</v>
      </c>
      <c r="G413">
        <v>1</v>
      </c>
      <c r="H413">
        <v>0</v>
      </c>
      <c r="I413">
        <v>0</v>
      </c>
      <c r="J413">
        <v>0</v>
      </c>
      <c r="K413">
        <v>0</v>
      </c>
      <c r="L413">
        <v>1</v>
      </c>
      <c r="M413">
        <v>1</v>
      </c>
      <c r="N413">
        <v>0</v>
      </c>
      <c r="O413">
        <v>1</v>
      </c>
      <c r="P413">
        <v>0</v>
      </c>
      <c r="Q413">
        <v>146.7333333</v>
      </c>
    </row>
    <row r="414" spans="1:17" x14ac:dyDescent="0.25">
      <c r="A414">
        <v>55</v>
      </c>
      <c r="B414">
        <v>14</v>
      </c>
      <c r="C414">
        <v>1</v>
      </c>
      <c r="D414">
        <v>0</v>
      </c>
      <c r="E414">
        <v>5</v>
      </c>
      <c r="F414">
        <v>3.028</v>
      </c>
      <c r="G414">
        <v>0</v>
      </c>
      <c r="H414">
        <v>0</v>
      </c>
      <c r="I414">
        <v>1</v>
      </c>
      <c r="J414">
        <v>0</v>
      </c>
      <c r="K414">
        <v>0</v>
      </c>
      <c r="L414">
        <v>1</v>
      </c>
      <c r="M414">
        <v>1</v>
      </c>
      <c r="N414">
        <v>0</v>
      </c>
      <c r="O414">
        <v>0</v>
      </c>
      <c r="P414">
        <v>0</v>
      </c>
      <c r="Q414">
        <v>264.76666669999997</v>
      </c>
    </row>
    <row r="415" spans="1:17" x14ac:dyDescent="0.25">
      <c r="A415">
        <v>58</v>
      </c>
      <c r="B415">
        <v>5</v>
      </c>
      <c r="C415">
        <v>1</v>
      </c>
      <c r="D415">
        <v>0</v>
      </c>
      <c r="E415">
        <v>6</v>
      </c>
      <c r="F415">
        <v>3.01</v>
      </c>
      <c r="G415">
        <v>1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149.69999999999999</v>
      </c>
    </row>
    <row r="416" spans="1:17" x14ac:dyDescent="0.25">
      <c r="A416">
        <v>65</v>
      </c>
      <c r="B416">
        <v>35</v>
      </c>
      <c r="C416">
        <v>3</v>
      </c>
      <c r="D416">
        <v>18</v>
      </c>
      <c r="E416">
        <v>9</v>
      </c>
      <c r="F416">
        <v>6.07</v>
      </c>
      <c r="G416">
        <v>1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0</v>
      </c>
      <c r="O416">
        <v>1</v>
      </c>
      <c r="P416">
        <v>1</v>
      </c>
      <c r="Q416">
        <v>39.533333329999998</v>
      </c>
    </row>
    <row r="417" spans="1:17" x14ac:dyDescent="0.25">
      <c r="A417">
        <v>60</v>
      </c>
      <c r="B417">
        <v>26</v>
      </c>
      <c r="C417">
        <v>1</v>
      </c>
      <c r="D417">
        <v>0</v>
      </c>
      <c r="E417">
        <v>4</v>
      </c>
      <c r="F417">
        <v>4.0519999999999996</v>
      </c>
      <c r="G417">
        <v>1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v>1</v>
      </c>
      <c r="P417">
        <v>1</v>
      </c>
      <c r="Q417">
        <v>43.2</v>
      </c>
    </row>
    <row r="418" spans="1:17" x14ac:dyDescent="0.25">
      <c r="A418">
        <v>31</v>
      </c>
      <c r="B418">
        <v>31</v>
      </c>
      <c r="C418">
        <v>3</v>
      </c>
      <c r="D418">
        <v>11</v>
      </c>
      <c r="E418">
        <v>5</v>
      </c>
      <c r="F418">
        <v>6.0620000000000003</v>
      </c>
      <c r="G418">
        <v>1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1</v>
      </c>
      <c r="O418">
        <v>0</v>
      </c>
      <c r="P418">
        <v>1</v>
      </c>
      <c r="Q418">
        <v>9.4333333330000002</v>
      </c>
    </row>
    <row r="419" spans="1:17" x14ac:dyDescent="0.25">
      <c r="A419">
        <v>58</v>
      </c>
      <c r="B419">
        <v>16</v>
      </c>
      <c r="C419">
        <v>1</v>
      </c>
      <c r="D419">
        <v>0</v>
      </c>
      <c r="E419">
        <v>5</v>
      </c>
      <c r="F419">
        <v>4.032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1</v>
      </c>
      <c r="P419">
        <v>1</v>
      </c>
      <c r="Q419">
        <v>159</v>
      </c>
    </row>
    <row r="420" spans="1:17" x14ac:dyDescent="0.25">
      <c r="A420">
        <v>36</v>
      </c>
      <c r="B420">
        <v>23</v>
      </c>
      <c r="C420">
        <v>1</v>
      </c>
      <c r="D420">
        <v>0</v>
      </c>
      <c r="E420">
        <v>7</v>
      </c>
      <c r="F420">
        <v>3.0459999999999998</v>
      </c>
      <c r="G420">
        <v>0</v>
      </c>
      <c r="H420">
        <v>0</v>
      </c>
      <c r="I420">
        <v>0</v>
      </c>
      <c r="J420">
        <v>1</v>
      </c>
      <c r="K420">
        <v>0</v>
      </c>
      <c r="L420">
        <v>1</v>
      </c>
      <c r="M420">
        <v>1</v>
      </c>
      <c r="N420">
        <v>0</v>
      </c>
      <c r="O420">
        <v>0</v>
      </c>
      <c r="P420">
        <v>1</v>
      </c>
      <c r="Q420">
        <v>269.6333333</v>
      </c>
    </row>
    <row r="421" spans="1:17" x14ac:dyDescent="0.25">
      <c r="A421">
        <v>61</v>
      </c>
      <c r="B421">
        <v>22</v>
      </c>
      <c r="C421">
        <v>1</v>
      </c>
      <c r="D421">
        <v>0</v>
      </c>
      <c r="E421">
        <v>5</v>
      </c>
      <c r="F421">
        <v>3.0439999999999898</v>
      </c>
      <c r="G421">
        <v>0</v>
      </c>
      <c r="H421">
        <v>0</v>
      </c>
      <c r="I421">
        <v>1</v>
      </c>
      <c r="J421">
        <v>0</v>
      </c>
      <c r="K421">
        <v>0</v>
      </c>
      <c r="L421">
        <v>1</v>
      </c>
      <c r="M421">
        <v>1</v>
      </c>
      <c r="N421">
        <v>0</v>
      </c>
      <c r="O421">
        <v>1</v>
      </c>
      <c r="P421">
        <v>0</v>
      </c>
      <c r="Q421">
        <v>270.43333330000002</v>
      </c>
    </row>
    <row r="422" spans="1:17" x14ac:dyDescent="0.25">
      <c r="A422">
        <v>45</v>
      </c>
      <c r="B422">
        <v>22</v>
      </c>
      <c r="C422">
        <v>2</v>
      </c>
      <c r="D422">
        <v>1</v>
      </c>
      <c r="E422">
        <v>5</v>
      </c>
      <c r="F422">
        <v>5.0439999999999996</v>
      </c>
      <c r="G422">
        <v>1</v>
      </c>
      <c r="H422">
        <v>0</v>
      </c>
      <c r="I422">
        <v>0</v>
      </c>
      <c r="J422">
        <v>0</v>
      </c>
      <c r="K422">
        <v>0</v>
      </c>
      <c r="L422">
        <v>1</v>
      </c>
      <c r="M422">
        <v>1</v>
      </c>
      <c r="N422">
        <v>1</v>
      </c>
      <c r="O422">
        <v>0</v>
      </c>
      <c r="P422">
        <v>1</v>
      </c>
      <c r="Q422">
        <v>250.66666669999901</v>
      </c>
    </row>
    <row r="423" spans="1:17" x14ac:dyDescent="0.25">
      <c r="A423">
        <v>59</v>
      </c>
      <c r="B423">
        <v>20</v>
      </c>
      <c r="C423">
        <v>2</v>
      </c>
      <c r="D423">
        <v>1</v>
      </c>
      <c r="E423">
        <v>6</v>
      </c>
      <c r="F423">
        <v>3.04</v>
      </c>
      <c r="G423">
        <v>0</v>
      </c>
      <c r="H423">
        <v>0</v>
      </c>
      <c r="I423">
        <v>0</v>
      </c>
      <c r="J423">
        <v>1</v>
      </c>
      <c r="K423">
        <v>0</v>
      </c>
      <c r="L423">
        <v>1</v>
      </c>
      <c r="M423">
        <v>1</v>
      </c>
      <c r="N423">
        <v>0</v>
      </c>
      <c r="O423">
        <v>1</v>
      </c>
      <c r="P423">
        <v>0</v>
      </c>
      <c r="Q423">
        <v>258.33333329999999</v>
      </c>
    </row>
    <row r="424" spans="1:17" x14ac:dyDescent="0.25">
      <c r="A424">
        <v>47</v>
      </c>
      <c r="B424">
        <v>20</v>
      </c>
      <c r="C424">
        <v>2</v>
      </c>
      <c r="D424">
        <v>2</v>
      </c>
      <c r="E424">
        <v>4</v>
      </c>
      <c r="F424">
        <v>3.04</v>
      </c>
      <c r="G424">
        <v>1</v>
      </c>
      <c r="H424">
        <v>0</v>
      </c>
      <c r="I424">
        <v>0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1</v>
      </c>
      <c r="P424">
        <v>0</v>
      </c>
      <c r="Q424">
        <v>269.33333329999999</v>
      </c>
    </row>
    <row r="425" spans="1:17" x14ac:dyDescent="0.25">
      <c r="A425">
        <v>66</v>
      </c>
      <c r="B425">
        <v>15</v>
      </c>
      <c r="C425">
        <v>1</v>
      </c>
      <c r="D425">
        <v>0</v>
      </c>
      <c r="E425">
        <v>6</v>
      </c>
      <c r="F425">
        <v>4.03</v>
      </c>
      <c r="G425">
        <v>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1</v>
      </c>
      <c r="P425">
        <v>0</v>
      </c>
      <c r="Q425">
        <v>196.56666669999899</v>
      </c>
    </row>
    <row r="426" spans="1:17" x14ac:dyDescent="0.25">
      <c r="A426">
        <v>49</v>
      </c>
      <c r="B426">
        <v>25</v>
      </c>
      <c r="C426">
        <v>1</v>
      </c>
      <c r="D426">
        <v>0</v>
      </c>
      <c r="E426">
        <v>3</v>
      </c>
      <c r="F426">
        <v>3.05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1</v>
      </c>
      <c r="P426">
        <v>1</v>
      </c>
      <c r="Q426">
        <v>218.3</v>
      </c>
    </row>
    <row r="427" spans="1:17" x14ac:dyDescent="0.25">
      <c r="A427">
        <v>34</v>
      </c>
      <c r="B427">
        <v>25</v>
      </c>
      <c r="C427">
        <v>2</v>
      </c>
      <c r="D427">
        <v>1</v>
      </c>
      <c r="E427">
        <v>6</v>
      </c>
      <c r="F427">
        <v>5.05</v>
      </c>
      <c r="G427">
        <v>1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1</v>
      </c>
      <c r="O427">
        <v>0</v>
      </c>
      <c r="P427">
        <v>1</v>
      </c>
      <c r="Q427">
        <v>125.6</v>
      </c>
    </row>
    <row r="428" spans="1:17" x14ac:dyDescent="0.25">
      <c r="A428">
        <v>59</v>
      </c>
      <c r="B428">
        <v>20</v>
      </c>
      <c r="C428">
        <v>3</v>
      </c>
      <c r="D428">
        <v>5</v>
      </c>
      <c r="E428">
        <v>5</v>
      </c>
      <c r="F428">
        <v>6.04</v>
      </c>
      <c r="G428">
        <v>1</v>
      </c>
      <c r="H428">
        <v>0</v>
      </c>
      <c r="I428">
        <v>0</v>
      </c>
      <c r="J428">
        <v>0</v>
      </c>
      <c r="K428">
        <v>0</v>
      </c>
      <c r="L428">
        <v>1</v>
      </c>
      <c r="M428">
        <v>1</v>
      </c>
      <c r="N428">
        <v>1</v>
      </c>
      <c r="O428">
        <v>0</v>
      </c>
      <c r="P428">
        <v>1</v>
      </c>
      <c r="Q428">
        <v>267.39999999999998</v>
      </c>
    </row>
    <row r="429" spans="1:17" x14ac:dyDescent="0.25">
      <c r="A429">
        <v>48</v>
      </c>
      <c r="B429">
        <v>16</v>
      </c>
      <c r="C429">
        <v>1</v>
      </c>
      <c r="D429">
        <v>0</v>
      </c>
      <c r="E429">
        <v>6</v>
      </c>
      <c r="F429">
        <v>2.032</v>
      </c>
      <c r="G429">
        <v>1</v>
      </c>
      <c r="H429">
        <v>0</v>
      </c>
      <c r="I429">
        <v>0</v>
      </c>
      <c r="J429">
        <v>0</v>
      </c>
      <c r="K429">
        <v>0</v>
      </c>
      <c r="L429">
        <v>1</v>
      </c>
      <c r="M429">
        <v>1</v>
      </c>
      <c r="N429">
        <v>0</v>
      </c>
      <c r="O429">
        <v>0</v>
      </c>
      <c r="P429">
        <v>1</v>
      </c>
      <c r="Q429">
        <v>266.93333330000002</v>
      </c>
    </row>
    <row r="430" spans="1:17" x14ac:dyDescent="0.25">
      <c r="A430">
        <v>33</v>
      </c>
      <c r="B430">
        <v>30</v>
      </c>
      <c r="C430">
        <v>2</v>
      </c>
      <c r="D430">
        <v>2</v>
      </c>
      <c r="E430">
        <v>4</v>
      </c>
      <c r="F430">
        <v>5.0599999999999996</v>
      </c>
      <c r="G430">
        <v>1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1</v>
      </c>
      <c r="O430">
        <v>0</v>
      </c>
      <c r="P430">
        <v>1</v>
      </c>
      <c r="Q430">
        <v>31.93333333</v>
      </c>
    </row>
    <row r="431" spans="1:17" x14ac:dyDescent="0.25">
      <c r="A431">
        <v>45</v>
      </c>
      <c r="B431">
        <v>25</v>
      </c>
      <c r="C431">
        <v>3</v>
      </c>
      <c r="D431">
        <v>8</v>
      </c>
      <c r="E431">
        <v>8</v>
      </c>
      <c r="F431">
        <v>6.05</v>
      </c>
      <c r="G431">
        <v>1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1</v>
      </c>
      <c r="O431">
        <v>0</v>
      </c>
      <c r="P431">
        <v>1</v>
      </c>
      <c r="Q431">
        <v>14.4</v>
      </c>
    </row>
    <row r="432" spans="1:17" x14ac:dyDescent="0.25">
      <c r="A432">
        <v>37</v>
      </c>
      <c r="B432">
        <v>37</v>
      </c>
      <c r="C432">
        <v>3</v>
      </c>
      <c r="D432">
        <v>5</v>
      </c>
      <c r="E432">
        <v>6</v>
      </c>
      <c r="F432">
        <v>6.0739999999999998</v>
      </c>
      <c r="G432">
        <v>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1</v>
      </c>
      <c r="O432">
        <v>0</v>
      </c>
      <c r="P432">
        <v>1</v>
      </c>
      <c r="Q432">
        <v>14.1</v>
      </c>
    </row>
    <row r="433" spans="1:17" x14ac:dyDescent="0.25">
      <c r="A433">
        <v>58</v>
      </c>
      <c r="B433">
        <v>13</v>
      </c>
      <c r="C433">
        <v>1</v>
      </c>
      <c r="D433">
        <v>0</v>
      </c>
      <c r="E433">
        <v>1</v>
      </c>
      <c r="F433">
        <v>2.0259999999999998</v>
      </c>
      <c r="G433">
        <v>0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263.7</v>
      </c>
    </row>
    <row r="434" spans="1:17" x14ac:dyDescent="0.25">
      <c r="A434">
        <v>63</v>
      </c>
      <c r="B434">
        <v>18</v>
      </c>
      <c r="C434">
        <v>1</v>
      </c>
      <c r="D434">
        <v>0</v>
      </c>
      <c r="E434">
        <v>3</v>
      </c>
      <c r="F434">
        <v>4.0359999999999996</v>
      </c>
      <c r="G434">
        <v>1</v>
      </c>
      <c r="H434">
        <v>0</v>
      </c>
      <c r="I434">
        <v>0</v>
      </c>
      <c r="J434">
        <v>0</v>
      </c>
      <c r="K434">
        <v>0</v>
      </c>
      <c r="L434">
        <v>1</v>
      </c>
      <c r="M434">
        <v>1</v>
      </c>
      <c r="N434">
        <v>0</v>
      </c>
      <c r="O434">
        <v>1</v>
      </c>
      <c r="P434">
        <v>1</v>
      </c>
      <c r="Q434">
        <v>108.43333329999901</v>
      </c>
    </row>
    <row r="435" spans="1:17" x14ac:dyDescent="0.25">
      <c r="A435">
        <v>66</v>
      </c>
      <c r="B435">
        <v>27</v>
      </c>
      <c r="C435">
        <v>1</v>
      </c>
      <c r="D435">
        <v>0</v>
      </c>
      <c r="E435">
        <v>7</v>
      </c>
      <c r="F435">
        <v>4.0539999999999896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1</v>
      </c>
      <c r="P435">
        <v>0</v>
      </c>
      <c r="Q435">
        <v>27.2</v>
      </c>
    </row>
    <row r="436" spans="1:17" x14ac:dyDescent="0.25">
      <c r="A436">
        <v>36</v>
      </c>
      <c r="B436">
        <v>15</v>
      </c>
      <c r="C436">
        <v>1</v>
      </c>
      <c r="D436">
        <v>0</v>
      </c>
      <c r="E436">
        <v>3</v>
      </c>
      <c r="F436">
        <v>3.03</v>
      </c>
      <c r="G436">
        <v>1</v>
      </c>
      <c r="H436">
        <v>0</v>
      </c>
      <c r="I436">
        <v>0</v>
      </c>
      <c r="J436">
        <v>0</v>
      </c>
      <c r="K436">
        <v>0</v>
      </c>
      <c r="L436">
        <v>1</v>
      </c>
      <c r="M436">
        <v>1</v>
      </c>
      <c r="N436">
        <v>0</v>
      </c>
      <c r="O436">
        <v>0</v>
      </c>
      <c r="P436">
        <v>0</v>
      </c>
      <c r="Q436">
        <v>112</v>
      </c>
    </row>
    <row r="437" spans="1:17" x14ac:dyDescent="0.25">
      <c r="A437">
        <v>39</v>
      </c>
      <c r="B437">
        <v>15</v>
      </c>
      <c r="C437">
        <v>1</v>
      </c>
      <c r="D437">
        <v>0</v>
      </c>
      <c r="E437">
        <v>6</v>
      </c>
      <c r="F437">
        <v>3.03</v>
      </c>
      <c r="G437">
        <v>1</v>
      </c>
      <c r="H437">
        <v>0</v>
      </c>
      <c r="I437">
        <v>0</v>
      </c>
      <c r="J437">
        <v>0</v>
      </c>
      <c r="K437">
        <v>0</v>
      </c>
      <c r="L437">
        <v>1</v>
      </c>
      <c r="M437">
        <v>1</v>
      </c>
      <c r="N437">
        <v>0</v>
      </c>
      <c r="O437">
        <v>0</v>
      </c>
      <c r="P437">
        <v>1</v>
      </c>
      <c r="Q437">
        <v>263.3666667</v>
      </c>
    </row>
    <row r="438" spans="1:17" x14ac:dyDescent="0.25">
      <c r="A438">
        <v>43</v>
      </c>
      <c r="B438">
        <v>18</v>
      </c>
      <c r="C438">
        <v>1</v>
      </c>
      <c r="D438">
        <v>0</v>
      </c>
      <c r="E438">
        <v>4</v>
      </c>
      <c r="F438">
        <v>3.036</v>
      </c>
      <c r="G438">
        <v>1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1</v>
      </c>
      <c r="Q438">
        <v>30.133333329999999</v>
      </c>
    </row>
    <row r="439" spans="1:17" x14ac:dyDescent="0.25">
      <c r="A439">
        <v>69</v>
      </c>
      <c r="B439">
        <v>30</v>
      </c>
      <c r="C439">
        <v>2</v>
      </c>
      <c r="D439">
        <v>3</v>
      </c>
      <c r="E439">
        <v>10</v>
      </c>
      <c r="F439">
        <v>4.0599999999999996</v>
      </c>
      <c r="G439">
        <v>1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1</v>
      </c>
      <c r="P439">
        <v>1</v>
      </c>
      <c r="Q439">
        <v>5.5</v>
      </c>
    </row>
    <row r="440" spans="1:17" x14ac:dyDescent="0.25">
      <c r="A440">
        <v>31</v>
      </c>
      <c r="B440">
        <v>30</v>
      </c>
      <c r="C440">
        <v>2</v>
      </c>
      <c r="D440">
        <v>2</v>
      </c>
      <c r="E440">
        <v>4</v>
      </c>
      <c r="F440">
        <v>5.0599999999999996</v>
      </c>
      <c r="G440">
        <v>1</v>
      </c>
      <c r="H440">
        <v>0</v>
      </c>
      <c r="I440">
        <v>0</v>
      </c>
      <c r="J440">
        <v>0</v>
      </c>
      <c r="K440">
        <v>0</v>
      </c>
      <c r="L440">
        <v>1</v>
      </c>
      <c r="M440">
        <v>1</v>
      </c>
      <c r="N440">
        <v>1</v>
      </c>
      <c r="O440">
        <v>0</v>
      </c>
      <c r="P440">
        <v>1</v>
      </c>
      <c r="Q440">
        <v>262.1333333</v>
      </c>
    </row>
    <row r="441" spans="1:17" x14ac:dyDescent="0.25">
      <c r="A441">
        <v>53</v>
      </c>
      <c r="B441">
        <v>10</v>
      </c>
      <c r="C441">
        <v>3</v>
      </c>
      <c r="D441">
        <v>4</v>
      </c>
      <c r="E441">
        <v>5</v>
      </c>
      <c r="F441">
        <v>5.0199999999999996</v>
      </c>
      <c r="G441">
        <v>0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1</v>
      </c>
      <c r="P441">
        <v>1</v>
      </c>
      <c r="Q441">
        <v>227.83333329999999</v>
      </c>
    </row>
    <row r="442" spans="1:17" x14ac:dyDescent="0.25">
      <c r="A442">
        <v>69</v>
      </c>
      <c r="B442">
        <v>30</v>
      </c>
      <c r="C442">
        <v>3</v>
      </c>
      <c r="D442">
        <v>7</v>
      </c>
      <c r="E442">
        <v>8</v>
      </c>
      <c r="F442">
        <v>6.06</v>
      </c>
      <c r="G442">
        <v>1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1</v>
      </c>
      <c r="P442">
        <v>1</v>
      </c>
      <c r="Q442">
        <v>9.6</v>
      </c>
    </row>
    <row r="443" spans="1:17" x14ac:dyDescent="0.25">
      <c r="A443">
        <v>50</v>
      </c>
      <c r="B443">
        <v>18</v>
      </c>
      <c r="C443">
        <v>2</v>
      </c>
      <c r="D443">
        <v>2</v>
      </c>
      <c r="E443">
        <v>6</v>
      </c>
      <c r="F443">
        <v>5.0359999999999996</v>
      </c>
      <c r="G443">
        <v>1</v>
      </c>
      <c r="H443">
        <v>0</v>
      </c>
      <c r="I443">
        <v>0</v>
      </c>
      <c r="J443">
        <v>0</v>
      </c>
      <c r="K443">
        <v>0</v>
      </c>
      <c r="L443">
        <v>1</v>
      </c>
      <c r="M443">
        <v>1</v>
      </c>
      <c r="N443">
        <v>0</v>
      </c>
      <c r="O443">
        <v>1</v>
      </c>
      <c r="P443">
        <v>1</v>
      </c>
      <c r="Q443">
        <v>265</v>
      </c>
    </row>
    <row r="444" spans="1:17" x14ac:dyDescent="0.25">
      <c r="A444">
        <v>46</v>
      </c>
      <c r="B444">
        <v>25</v>
      </c>
      <c r="C444">
        <v>2</v>
      </c>
      <c r="D444">
        <v>2</v>
      </c>
      <c r="E444">
        <v>9</v>
      </c>
      <c r="F444">
        <v>4.05</v>
      </c>
      <c r="G444">
        <v>0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1</v>
      </c>
      <c r="P444">
        <v>0</v>
      </c>
      <c r="Q444">
        <v>252.8666667</v>
      </c>
    </row>
    <row r="445" spans="1:17" x14ac:dyDescent="0.25">
      <c r="A445">
        <v>69</v>
      </c>
      <c r="B445">
        <v>15</v>
      </c>
      <c r="C445">
        <v>2</v>
      </c>
      <c r="D445">
        <v>2</v>
      </c>
      <c r="E445">
        <v>10</v>
      </c>
      <c r="F445">
        <v>4.03</v>
      </c>
      <c r="G445">
        <v>1</v>
      </c>
      <c r="H445">
        <v>0</v>
      </c>
      <c r="I445">
        <v>0</v>
      </c>
      <c r="J445">
        <v>0</v>
      </c>
      <c r="K445">
        <v>0</v>
      </c>
      <c r="L445">
        <v>1</v>
      </c>
      <c r="M445">
        <v>1</v>
      </c>
      <c r="N445">
        <v>0</v>
      </c>
      <c r="O445">
        <v>1</v>
      </c>
      <c r="P445">
        <v>1</v>
      </c>
      <c r="Q445">
        <v>264.23333330000003</v>
      </c>
    </row>
    <row r="446" spans="1:17" x14ac:dyDescent="0.25">
      <c r="A446">
        <v>64</v>
      </c>
      <c r="B446">
        <v>20</v>
      </c>
      <c r="C446">
        <v>1</v>
      </c>
      <c r="D446">
        <v>0</v>
      </c>
      <c r="E446">
        <v>5</v>
      </c>
      <c r="F446">
        <v>4.04</v>
      </c>
      <c r="G446">
        <v>1</v>
      </c>
      <c r="H446">
        <v>0</v>
      </c>
      <c r="I446">
        <v>0</v>
      </c>
      <c r="J446">
        <v>0</v>
      </c>
      <c r="K446">
        <v>0</v>
      </c>
      <c r="L446">
        <v>1</v>
      </c>
      <c r="M446">
        <v>1</v>
      </c>
      <c r="N446">
        <v>0</v>
      </c>
      <c r="O446">
        <v>1</v>
      </c>
      <c r="P446">
        <v>1</v>
      </c>
      <c r="Q446">
        <v>261.2</v>
      </c>
    </row>
    <row r="447" spans="1:17" x14ac:dyDescent="0.25">
      <c r="A447">
        <v>48</v>
      </c>
      <c r="B447">
        <v>15</v>
      </c>
      <c r="C447">
        <v>1</v>
      </c>
      <c r="D447">
        <v>0</v>
      </c>
      <c r="E447">
        <v>6</v>
      </c>
      <c r="F447">
        <v>2.0299999999999998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1</v>
      </c>
      <c r="M447">
        <v>1</v>
      </c>
      <c r="N447">
        <v>0</v>
      </c>
      <c r="O447">
        <v>0</v>
      </c>
      <c r="P447">
        <v>0</v>
      </c>
      <c r="Q447">
        <v>260</v>
      </c>
    </row>
    <row r="448" spans="1:17" x14ac:dyDescent="0.25">
      <c r="A448">
        <v>63</v>
      </c>
      <c r="B448">
        <v>20</v>
      </c>
      <c r="C448">
        <v>1</v>
      </c>
      <c r="D448">
        <v>0</v>
      </c>
      <c r="E448">
        <v>4</v>
      </c>
      <c r="F448">
        <v>4.04</v>
      </c>
      <c r="G448">
        <v>1</v>
      </c>
      <c r="H448">
        <v>0</v>
      </c>
      <c r="I448">
        <v>0</v>
      </c>
      <c r="J448">
        <v>0</v>
      </c>
      <c r="K448">
        <v>0</v>
      </c>
      <c r="L448">
        <v>1</v>
      </c>
      <c r="M448">
        <v>1</v>
      </c>
      <c r="N448">
        <v>0</v>
      </c>
      <c r="O448">
        <v>1</v>
      </c>
      <c r="P448">
        <v>1</v>
      </c>
      <c r="Q448">
        <v>187.03333330000001</v>
      </c>
    </row>
    <row r="449" spans="1:17" x14ac:dyDescent="0.25">
      <c r="A449">
        <v>46</v>
      </c>
      <c r="B449">
        <v>18</v>
      </c>
      <c r="C449">
        <v>2</v>
      </c>
      <c r="D449">
        <v>1</v>
      </c>
      <c r="E449">
        <v>3</v>
      </c>
      <c r="F449">
        <v>5.0359999999999996</v>
      </c>
      <c r="G449">
        <v>1</v>
      </c>
      <c r="H449">
        <v>0</v>
      </c>
      <c r="I449">
        <v>0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</v>
      </c>
      <c r="P449">
        <v>1</v>
      </c>
      <c r="Q449">
        <v>254.5</v>
      </c>
    </row>
    <row r="450" spans="1:17" x14ac:dyDescent="0.25">
      <c r="A450">
        <v>58</v>
      </c>
      <c r="B450">
        <v>16</v>
      </c>
      <c r="C450">
        <v>1</v>
      </c>
      <c r="D450">
        <v>0</v>
      </c>
      <c r="E450">
        <v>4</v>
      </c>
      <c r="F450">
        <v>4.032</v>
      </c>
      <c r="G450">
        <v>1</v>
      </c>
      <c r="H450">
        <v>0</v>
      </c>
      <c r="I450">
        <v>0</v>
      </c>
      <c r="J450">
        <v>0</v>
      </c>
      <c r="K450">
        <v>0</v>
      </c>
      <c r="L450">
        <v>1</v>
      </c>
      <c r="M450">
        <v>1</v>
      </c>
      <c r="N450">
        <v>0</v>
      </c>
      <c r="O450">
        <v>1</v>
      </c>
      <c r="P450">
        <v>1</v>
      </c>
      <c r="Q450">
        <v>191.2333333</v>
      </c>
    </row>
    <row r="451" spans="1:17" x14ac:dyDescent="0.25">
      <c r="A451">
        <v>61</v>
      </c>
      <c r="B451">
        <v>12</v>
      </c>
      <c r="C451">
        <v>1</v>
      </c>
      <c r="D451">
        <v>0</v>
      </c>
      <c r="E451">
        <v>8</v>
      </c>
      <c r="F451">
        <v>4.024</v>
      </c>
      <c r="G451">
        <v>1</v>
      </c>
      <c r="H451">
        <v>0</v>
      </c>
      <c r="I451">
        <v>0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1</v>
      </c>
      <c r="P451">
        <v>0</v>
      </c>
      <c r="Q451">
        <v>262</v>
      </c>
    </row>
    <row r="452" spans="1:17" x14ac:dyDescent="0.25">
      <c r="A452">
        <v>50</v>
      </c>
      <c r="B452">
        <v>12</v>
      </c>
      <c r="C452">
        <v>2</v>
      </c>
      <c r="D452">
        <v>1</v>
      </c>
      <c r="E452">
        <v>7</v>
      </c>
      <c r="F452">
        <v>5.024</v>
      </c>
      <c r="G452">
        <v>1</v>
      </c>
      <c r="H452">
        <v>0</v>
      </c>
      <c r="I452">
        <v>0</v>
      </c>
      <c r="J452">
        <v>0</v>
      </c>
      <c r="K452">
        <v>0</v>
      </c>
      <c r="L452">
        <v>1</v>
      </c>
      <c r="M452">
        <v>1</v>
      </c>
      <c r="N452">
        <v>1</v>
      </c>
      <c r="O452">
        <v>0</v>
      </c>
      <c r="P452">
        <v>1</v>
      </c>
      <c r="Q452">
        <v>263.23333330000003</v>
      </c>
    </row>
    <row r="453" spans="1:17" x14ac:dyDescent="0.25">
      <c r="A453">
        <v>45</v>
      </c>
      <c r="B453">
        <v>23</v>
      </c>
      <c r="C453">
        <v>1</v>
      </c>
      <c r="D453">
        <v>0</v>
      </c>
      <c r="E453">
        <v>6</v>
      </c>
      <c r="F453">
        <v>3.0459999999999998</v>
      </c>
      <c r="G453">
        <v>1</v>
      </c>
      <c r="H453">
        <v>0</v>
      </c>
      <c r="I453">
        <v>0</v>
      </c>
      <c r="J453">
        <v>0</v>
      </c>
      <c r="K453">
        <v>0</v>
      </c>
      <c r="L453">
        <v>1</v>
      </c>
      <c r="M453">
        <v>1</v>
      </c>
      <c r="N453">
        <v>0</v>
      </c>
      <c r="O453">
        <v>0</v>
      </c>
      <c r="P453">
        <v>1</v>
      </c>
      <c r="Q453">
        <v>253.06666669999899</v>
      </c>
    </row>
    <row r="454" spans="1:17" x14ac:dyDescent="0.25">
      <c r="A454">
        <v>60</v>
      </c>
      <c r="B454">
        <v>20</v>
      </c>
      <c r="C454">
        <v>3</v>
      </c>
      <c r="D454">
        <v>6</v>
      </c>
      <c r="E454">
        <v>6</v>
      </c>
      <c r="F454">
        <v>5.04</v>
      </c>
      <c r="G454">
        <v>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1</v>
      </c>
      <c r="P454">
        <v>1</v>
      </c>
      <c r="Q454">
        <v>15.7</v>
      </c>
    </row>
    <row r="455" spans="1:17" x14ac:dyDescent="0.25">
      <c r="A455">
        <v>48</v>
      </c>
      <c r="B455">
        <v>12</v>
      </c>
      <c r="C455">
        <v>1</v>
      </c>
      <c r="D455">
        <v>0</v>
      </c>
      <c r="E455">
        <v>2</v>
      </c>
      <c r="F455">
        <v>3.0239999999999898</v>
      </c>
      <c r="G455">
        <v>1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114.9</v>
      </c>
    </row>
    <row r="456" spans="1:17" x14ac:dyDescent="0.25">
      <c r="A456">
        <v>51</v>
      </c>
      <c r="B456">
        <v>12</v>
      </c>
      <c r="C456">
        <v>1</v>
      </c>
      <c r="D456">
        <v>0</v>
      </c>
      <c r="E456">
        <v>2</v>
      </c>
      <c r="F456">
        <v>2.024</v>
      </c>
      <c r="G456">
        <v>0</v>
      </c>
      <c r="H456">
        <v>1</v>
      </c>
      <c r="I456">
        <v>0</v>
      </c>
      <c r="J456">
        <v>0</v>
      </c>
      <c r="K456">
        <v>0</v>
      </c>
      <c r="L456">
        <v>1</v>
      </c>
      <c r="M456">
        <v>1</v>
      </c>
      <c r="N456">
        <v>0</v>
      </c>
      <c r="O456">
        <v>0</v>
      </c>
      <c r="P456">
        <v>1</v>
      </c>
      <c r="Q456">
        <v>149.6</v>
      </c>
    </row>
    <row r="457" spans="1:17" x14ac:dyDescent="0.25">
      <c r="A457">
        <v>50</v>
      </c>
      <c r="B457">
        <v>23</v>
      </c>
      <c r="C457">
        <v>2</v>
      </c>
      <c r="D457">
        <v>1</v>
      </c>
      <c r="E457">
        <v>3</v>
      </c>
      <c r="F457">
        <v>3.0459999999999998</v>
      </c>
      <c r="G457">
        <v>1</v>
      </c>
      <c r="H457">
        <v>0</v>
      </c>
      <c r="I457">
        <v>0</v>
      </c>
      <c r="J457">
        <v>0</v>
      </c>
      <c r="K457">
        <v>0</v>
      </c>
      <c r="L457">
        <v>1</v>
      </c>
      <c r="M457">
        <v>1</v>
      </c>
      <c r="N457">
        <v>0</v>
      </c>
      <c r="O457">
        <v>1</v>
      </c>
      <c r="P457">
        <v>1</v>
      </c>
      <c r="Q457">
        <v>238.3666667</v>
      </c>
    </row>
    <row r="458" spans="1:17" x14ac:dyDescent="0.25">
      <c r="A458">
        <v>39</v>
      </c>
      <c r="B458">
        <v>15</v>
      </c>
      <c r="C458">
        <v>2</v>
      </c>
      <c r="D458">
        <v>1</v>
      </c>
      <c r="E458">
        <v>5</v>
      </c>
      <c r="F458">
        <v>5.03</v>
      </c>
      <c r="G458">
        <v>1</v>
      </c>
      <c r="H458">
        <v>0</v>
      </c>
      <c r="I458">
        <v>0</v>
      </c>
      <c r="J458">
        <v>0</v>
      </c>
      <c r="K458">
        <v>0</v>
      </c>
      <c r="L458">
        <v>1</v>
      </c>
      <c r="M458">
        <v>1</v>
      </c>
      <c r="N458">
        <v>1</v>
      </c>
      <c r="O458">
        <v>0</v>
      </c>
      <c r="P458">
        <v>1</v>
      </c>
      <c r="Q458">
        <v>262.6333333</v>
      </c>
    </row>
    <row r="459" spans="1:17" x14ac:dyDescent="0.25">
      <c r="A459">
        <v>56</v>
      </c>
      <c r="B459">
        <v>10</v>
      </c>
      <c r="C459">
        <v>1</v>
      </c>
      <c r="D459">
        <v>0</v>
      </c>
      <c r="E459">
        <v>12</v>
      </c>
      <c r="F459">
        <v>4.0199999999999996</v>
      </c>
      <c r="G459">
        <v>1</v>
      </c>
      <c r="H459">
        <v>0</v>
      </c>
      <c r="I459">
        <v>0</v>
      </c>
      <c r="J459">
        <v>0</v>
      </c>
      <c r="K459">
        <v>0</v>
      </c>
      <c r="L459">
        <v>1</v>
      </c>
      <c r="M459">
        <v>1</v>
      </c>
      <c r="N459">
        <v>0</v>
      </c>
      <c r="O459">
        <v>1</v>
      </c>
      <c r="P459">
        <v>0</v>
      </c>
      <c r="Q459">
        <v>258.8666667</v>
      </c>
    </row>
    <row r="460" spans="1:17" x14ac:dyDescent="0.25">
      <c r="A460">
        <v>37</v>
      </c>
      <c r="B460">
        <v>13</v>
      </c>
      <c r="C460">
        <v>2</v>
      </c>
      <c r="D460">
        <v>1</v>
      </c>
      <c r="E460">
        <v>2</v>
      </c>
      <c r="F460">
        <v>5.0259999999999998</v>
      </c>
      <c r="G460">
        <v>1</v>
      </c>
      <c r="H460">
        <v>0</v>
      </c>
      <c r="I460">
        <v>0</v>
      </c>
      <c r="J460">
        <v>0</v>
      </c>
      <c r="K460">
        <v>0</v>
      </c>
      <c r="L460">
        <v>1</v>
      </c>
      <c r="M460">
        <v>1</v>
      </c>
      <c r="N460">
        <v>1</v>
      </c>
      <c r="O460">
        <v>0</v>
      </c>
      <c r="P460">
        <v>1</v>
      </c>
      <c r="Q460">
        <v>256</v>
      </c>
    </row>
    <row r="461" spans="1:17" x14ac:dyDescent="0.25">
      <c r="A461">
        <v>49</v>
      </c>
      <c r="B461">
        <v>22</v>
      </c>
      <c r="C461">
        <v>2</v>
      </c>
      <c r="D461">
        <v>0</v>
      </c>
      <c r="E461">
        <v>3</v>
      </c>
      <c r="F461">
        <v>4.0439999999999996</v>
      </c>
      <c r="G461">
        <v>1</v>
      </c>
      <c r="H461">
        <v>0</v>
      </c>
      <c r="I461">
        <v>0</v>
      </c>
      <c r="J461">
        <v>0</v>
      </c>
      <c r="K461">
        <v>0</v>
      </c>
      <c r="L461">
        <v>1</v>
      </c>
      <c r="M461">
        <v>1</v>
      </c>
      <c r="N461">
        <v>0</v>
      </c>
      <c r="O461">
        <v>1</v>
      </c>
      <c r="P461">
        <v>1</v>
      </c>
      <c r="Q461">
        <v>261.2</v>
      </c>
    </row>
    <row r="462" spans="1:17" x14ac:dyDescent="0.25">
      <c r="A462">
        <v>60</v>
      </c>
      <c r="B462">
        <v>17</v>
      </c>
      <c r="C462">
        <v>1</v>
      </c>
      <c r="D462">
        <v>0</v>
      </c>
      <c r="E462">
        <v>6</v>
      </c>
      <c r="F462">
        <v>4.0339999999999998</v>
      </c>
      <c r="G462">
        <v>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1</v>
      </c>
      <c r="P462">
        <v>1</v>
      </c>
      <c r="Q462">
        <v>42.566666669999996</v>
      </c>
    </row>
    <row r="463" spans="1:17" x14ac:dyDescent="0.25">
      <c r="A463">
        <v>46</v>
      </c>
      <c r="B463">
        <v>21</v>
      </c>
      <c r="C463">
        <v>2</v>
      </c>
      <c r="D463">
        <v>2</v>
      </c>
      <c r="E463">
        <v>4</v>
      </c>
      <c r="F463">
        <v>5.0419999999999998</v>
      </c>
      <c r="G463">
        <v>1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1</v>
      </c>
      <c r="O463">
        <v>0</v>
      </c>
      <c r="P463">
        <v>1</v>
      </c>
      <c r="Q463">
        <v>35.633333329999999</v>
      </c>
    </row>
    <row r="464" spans="1:17" x14ac:dyDescent="0.25">
      <c r="A464">
        <v>50</v>
      </c>
      <c r="B464">
        <v>15</v>
      </c>
      <c r="C464">
        <v>1</v>
      </c>
      <c r="D464">
        <v>0</v>
      </c>
      <c r="E464">
        <v>9</v>
      </c>
      <c r="F464">
        <v>2.0299999999999998</v>
      </c>
      <c r="G464">
        <v>1</v>
      </c>
      <c r="H464">
        <v>0</v>
      </c>
      <c r="I464">
        <v>0</v>
      </c>
      <c r="J464">
        <v>0</v>
      </c>
      <c r="K464">
        <v>0</v>
      </c>
      <c r="L464">
        <v>1</v>
      </c>
      <c r="M464">
        <v>1</v>
      </c>
      <c r="N464">
        <v>0</v>
      </c>
      <c r="O464">
        <v>0</v>
      </c>
      <c r="P464">
        <v>1</v>
      </c>
      <c r="Q464">
        <v>250.1333333</v>
      </c>
    </row>
    <row r="465" spans="1:17" x14ac:dyDescent="0.25">
      <c r="A465">
        <v>69</v>
      </c>
      <c r="B465">
        <v>19</v>
      </c>
      <c r="C465">
        <v>1</v>
      </c>
      <c r="D465">
        <v>0</v>
      </c>
      <c r="E465">
        <v>1</v>
      </c>
      <c r="F465">
        <v>3.0379999999999998</v>
      </c>
      <c r="G465">
        <v>1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1</v>
      </c>
      <c r="P465">
        <v>0</v>
      </c>
      <c r="Q465">
        <v>70.400000000000006</v>
      </c>
    </row>
    <row r="466" spans="1:17" x14ac:dyDescent="0.25">
      <c r="A466">
        <v>54</v>
      </c>
      <c r="B466">
        <v>22</v>
      </c>
      <c r="C466">
        <v>1</v>
      </c>
      <c r="D466">
        <v>0</v>
      </c>
      <c r="E466">
        <v>8</v>
      </c>
      <c r="F466">
        <v>3.0439999999999898</v>
      </c>
      <c r="G466">
        <v>1</v>
      </c>
      <c r="H466">
        <v>0</v>
      </c>
      <c r="I466">
        <v>0</v>
      </c>
      <c r="J466">
        <v>0</v>
      </c>
      <c r="K466">
        <v>0</v>
      </c>
      <c r="L466">
        <v>1</v>
      </c>
      <c r="M466">
        <v>1</v>
      </c>
      <c r="N466">
        <v>0</v>
      </c>
      <c r="O466">
        <v>1</v>
      </c>
      <c r="P466">
        <v>1</v>
      </c>
      <c r="Q466">
        <v>260.73333330000003</v>
      </c>
    </row>
    <row r="467" spans="1:17" x14ac:dyDescent="0.25">
      <c r="A467">
        <v>53</v>
      </c>
      <c r="B467">
        <v>13</v>
      </c>
      <c r="C467">
        <v>1</v>
      </c>
      <c r="D467">
        <v>0</v>
      </c>
      <c r="E467">
        <v>5</v>
      </c>
      <c r="F467">
        <v>3.0259999999999998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1</v>
      </c>
      <c r="M467">
        <v>1</v>
      </c>
      <c r="N467">
        <v>0</v>
      </c>
      <c r="O467">
        <v>0</v>
      </c>
      <c r="P467">
        <v>1</v>
      </c>
      <c r="Q467">
        <v>98.833333330000002</v>
      </c>
    </row>
    <row r="468" spans="1:17" x14ac:dyDescent="0.25">
      <c r="A468">
        <v>57</v>
      </c>
      <c r="B468">
        <v>16</v>
      </c>
      <c r="C468">
        <v>1</v>
      </c>
      <c r="D468">
        <v>0</v>
      </c>
      <c r="E468">
        <v>4</v>
      </c>
      <c r="F468">
        <v>3.032</v>
      </c>
      <c r="G468">
        <v>0</v>
      </c>
      <c r="H468">
        <v>0</v>
      </c>
      <c r="I468">
        <v>1</v>
      </c>
      <c r="J468">
        <v>0</v>
      </c>
      <c r="K468">
        <v>0</v>
      </c>
      <c r="L468">
        <v>1</v>
      </c>
      <c r="M468">
        <v>1</v>
      </c>
      <c r="N468">
        <v>0</v>
      </c>
      <c r="O468">
        <v>0</v>
      </c>
      <c r="P468">
        <v>1</v>
      </c>
      <c r="Q468">
        <v>259.966666699999</v>
      </c>
    </row>
    <row r="469" spans="1:17" x14ac:dyDescent="0.25">
      <c r="A469">
        <v>55</v>
      </c>
      <c r="B469">
        <v>43</v>
      </c>
      <c r="C469">
        <v>2</v>
      </c>
      <c r="D469">
        <v>1</v>
      </c>
      <c r="E469">
        <v>5</v>
      </c>
      <c r="F469">
        <v>5.0860000000000003</v>
      </c>
      <c r="G469">
        <v>1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1</v>
      </c>
      <c r="O469">
        <v>0</v>
      </c>
      <c r="P469">
        <v>1</v>
      </c>
      <c r="Q469">
        <v>32.033333329999998</v>
      </c>
    </row>
    <row r="470" spans="1:17" x14ac:dyDescent="0.25">
      <c r="A470">
        <v>47</v>
      </c>
      <c r="B470">
        <v>40</v>
      </c>
      <c r="C470">
        <v>2</v>
      </c>
      <c r="D470">
        <v>2</v>
      </c>
      <c r="E470">
        <v>8</v>
      </c>
      <c r="F470">
        <v>5.08</v>
      </c>
      <c r="G470">
        <v>1</v>
      </c>
      <c r="H470">
        <v>0</v>
      </c>
      <c r="I470">
        <v>0</v>
      </c>
      <c r="J470">
        <v>0</v>
      </c>
      <c r="K470">
        <v>0</v>
      </c>
      <c r="L470">
        <v>1</v>
      </c>
      <c r="M470">
        <v>1</v>
      </c>
      <c r="N470">
        <v>1</v>
      </c>
      <c r="O470">
        <v>0</v>
      </c>
      <c r="P470">
        <v>1</v>
      </c>
      <c r="Q470">
        <v>254.2666667</v>
      </c>
    </row>
    <row r="471" spans="1:17" x14ac:dyDescent="0.25">
      <c r="A471">
        <v>65</v>
      </c>
      <c r="B471">
        <v>36</v>
      </c>
      <c r="C471">
        <v>2</v>
      </c>
      <c r="D471">
        <v>1</v>
      </c>
      <c r="E471">
        <v>5</v>
      </c>
      <c r="F471">
        <v>5.0720000000000001</v>
      </c>
      <c r="G471">
        <v>1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1</v>
      </c>
      <c r="P471">
        <v>1</v>
      </c>
      <c r="Q471">
        <v>44.6</v>
      </c>
    </row>
    <row r="472" spans="1:17" x14ac:dyDescent="0.25">
      <c r="A472">
        <v>62</v>
      </c>
      <c r="B472">
        <v>17</v>
      </c>
      <c r="C472">
        <v>1</v>
      </c>
      <c r="D472">
        <v>0</v>
      </c>
      <c r="E472">
        <v>5</v>
      </c>
      <c r="F472">
        <v>4.0339999999999998</v>
      </c>
      <c r="G472">
        <v>1</v>
      </c>
      <c r="H472">
        <v>0</v>
      </c>
      <c r="I472">
        <v>0</v>
      </c>
      <c r="J472">
        <v>0</v>
      </c>
      <c r="K472">
        <v>0</v>
      </c>
      <c r="L472">
        <v>1</v>
      </c>
      <c r="M472">
        <v>1</v>
      </c>
      <c r="N472">
        <v>0</v>
      </c>
      <c r="O472">
        <v>0</v>
      </c>
      <c r="P472">
        <v>1</v>
      </c>
      <c r="Q472">
        <v>146.3666667</v>
      </c>
    </row>
    <row r="473" spans="1:17" x14ac:dyDescent="0.25">
      <c r="A473">
        <v>43</v>
      </c>
      <c r="B473">
        <v>20</v>
      </c>
      <c r="C473">
        <v>3</v>
      </c>
      <c r="D473">
        <v>6</v>
      </c>
      <c r="E473">
        <v>13</v>
      </c>
      <c r="F473">
        <v>6.04</v>
      </c>
      <c r="G473">
        <v>1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1</v>
      </c>
      <c r="O473">
        <v>0</v>
      </c>
      <c r="P473">
        <v>1</v>
      </c>
      <c r="Q473">
        <v>28.56666667</v>
      </c>
    </row>
    <row r="474" spans="1:17" x14ac:dyDescent="0.25">
      <c r="A474">
        <v>46</v>
      </c>
      <c r="B474">
        <v>20</v>
      </c>
      <c r="C474">
        <v>1</v>
      </c>
      <c r="D474">
        <v>0</v>
      </c>
      <c r="E474">
        <v>7</v>
      </c>
      <c r="F474">
        <v>2.04</v>
      </c>
      <c r="G474">
        <v>0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165.16666669999901</v>
      </c>
    </row>
    <row r="475" spans="1:17" x14ac:dyDescent="0.25">
      <c r="A475">
        <v>60</v>
      </c>
      <c r="B475">
        <v>18</v>
      </c>
      <c r="C475">
        <v>2</v>
      </c>
      <c r="D475">
        <v>2</v>
      </c>
      <c r="E475">
        <v>5</v>
      </c>
      <c r="F475">
        <v>5.0359999999999996</v>
      </c>
      <c r="G475">
        <v>1</v>
      </c>
      <c r="H475">
        <v>0</v>
      </c>
      <c r="I475">
        <v>0</v>
      </c>
      <c r="J475">
        <v>0</v>
      </c>
      <c r="K475">
        <v>0</v>
      </c>
      <c r="L475">
        <v>1</v>
      </c>
      <c r="M475">
        <v>1</v>
      </c>
      <c r="N475">
        <v>1</v>
      </c>
      <c r="O475">
        <v>0</v>
      </c>
      <c r="P475">
        <v>1</v>
      </c>
      <c r="Q475">
        <v>259.53333329999998</v>
      </c>
    </row>
    <row r="476" spans="1:17" x14ac:dyDescent="0.25">
      <c r="A476">
        <v>50</v>
      </c>
      <c r="B476">
        <v>15</v>
      </c>
      <c r="C476">
        <v>1</v>
      </c>
      <c r="D476">
        <v>0</v>
      </c>
      <c r="E476">
        <v>11</v>
      </c>
      <c r="F476">
        <v>3.03</v>
      </c>
      <c r="G476">
        <v>0</v>
      </c>
      <c r="H476">
        <v>1</v>
      </c>
      <c r="I476">
        <v>0</v>
      </c>
      <c r="J476">
        <v>0</v>
      </c>
      <c r="K476">
        <v>0</v>
      </c>
      <c r="L476">
        <v>1</v>
      </c>
      <c r="M476">
        <v>1</v>
      </c>
      <c r="N476">
        <v>0</v>
      </c>
      <c r="O476">
        <v>0</v>
      </c>
      <c r="P476">
        <v>1</v>
      </c>
      <c r="Q476">
        <v>149.6</v>
      </c>
    </row>
    <row r="477" spans="1:17" x14ac:dyDescent="0.25">
      <c r="A477">
        <v>68</v>
      </c>
      <c r="B477">
        <v>30</v>
      </c>
      <c r="C477">
        <v>2</v>
      </c>
      <c r="D477">
        <v>2</v>
      </c>
      <c r="E477">
        <v>2</v>
      </c>
      <c r="F477">
        <v>5.0599999999999996</v>
      </c>
      <c r="G477">
        <v>1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0</v>
      </c>
      <c r="O477">
        <v>1</v>
      </c>
      <c r="P477">
        <v>1</v>
      </c>
      <c r="Q477">
        <v>81.099999999999994</v>
      </c>
    </row>
    <row r="478" spans="1:17" x14ac:dyDescent="0.25">
      <c r="A478">
        <v>43</v>
      </c>
      <c r="B478">
        <v>25</v>
      </c>
      <c r="C478">
        <v>1</v>
      </c>
      <c r="D478">
        <v>0</v>
      </c>
      <c r="E478">
        <v>4</v>
      </c>
      <c r="F478">
        <v>3.05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0</v>
      </c>
      <c r="M478">
        <v>1</v>
      </c>
      <c r="N478">
        <v>0</v>
      </c>
      <c r="O478">
        <v>0</v>
      </c>
      <c r="P478">
        <v>1</v>
      </c>
      <c r="Q478">
        <v>210.96666669999999</v>
      </c>
    </row>
    <row r="479" spans="1:17" x14ac:dyDescent="0.25">
      <c r="A479">
        <v>65</v>
      </c>
      <c r="B479">
        <v>19</v>
      </c>
      <c r="C479">
        <v>1</v>
      </c>
      <c r="D479">
        <v>0</v>
      </c>
      <c r="E479">
        <v>3</v>
      </c>
      <c r="F479">
        <v>3.0379999999999998</v>
      </c>
      <c r="G479">
        <v>1</v>
      </c>
      <c r="H479">
        <v>0</v>
      </c>
      <c r="I479">
        <v>0</v>
      </c>
      <c r="J479">
        <v>0</v>
      </c>
      <c r="K479">
        <v>0</v>
      </c>
      <c r="L479">
        <v>1</v>
      </c>
      <c r="M479">
        <v>1</v>
      </c>
      <c r="N479">
        <v>0</v>
      </c>
      <c r="O479">
        <v>0</v>
      </c>
      <c r="P479">
        <v>0</v>
      </c>
      <c r="Q479">
        <v>256.5</v>
      </c>
    </row>
    <row r="480" spans="1:17" x14ac:dyDescent="0.25">
      <c r="A480">
        <v>60</v>
      </c>
      <c r="B480">
        <v>20</v>
      </c>
      <c r="C480">
        <v>2</v>
      </c>
      <c r="D480">
        <v>2</v>
      </c>
      <c r="E480">
        <v>5</v>
      </c>
      <c r="F480">
        <v>4.04</v>
      </c>
      <c r="G480">
        <v>1</v>
      </c>
      <c r="H480">
        <v>0</v>
      </c>
      <c r="I480">
        <v>0</v>
      </c>
      <c r="J480">
        <v>0</v>
      </c>
      <c r="K480">
        <v>0</v>
      </c>
      <c r="L480">
        <v>1</v>
      </c>
      <c r="M480">
        <v>1</v>
      </c>
      <c r="N480">
        <v>0</v>
      </c>
      <c r="O480">
        <v>1</v>
      </c>
      <c r="P480">
        <v>1</v>
      </c>
      <c r="Q480">
        <v>258.33333329999999</v>
      </c>
    </row>
    <row r="481" spans="1:17" x14ac:dyDescent="0.25">
      <c r="A481">
        <v>58</v>
      </c>
      <c r="B481">
        <v>15</v>
      </c>
      <c r="C481">
        <v>1</v>
      </c>
      <c r="D481">
        <v>0</v>
      </c>
      <c r="E481">
        <v>5</v>
      </c>
      <c r="F481">
        <v>4.03</v>
      </c>
      <c r="G481">
        <v>1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1</v>
      </c>
      <c r="P481">
        <v>1</v>
      </c>
      <c r="Q481">
        <v>28.733333330000001</v>
      </c>
    </row>
    <row r="482" spans="1:17" x14ac:dyDescent="0.25">
      <c r="A482">
        <v>28</v>
      </c>
      <c r="B482">
        <v>20</v>
      </c>
      <c r="C482">
        <v>1</v>
      </c>
      <c r="D482">
        <v>0</v>
      </c>
      <c r="E482">
        <v>9</v>
      </c>
      <c r="F482">
        <v>3.04</v>
      </c>
      <c r="G482">
        <v>1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0</v>
      </c>
      <c r="O482">
        <v>0</v>
      </c>
      <c r="P482">
        <v>1</v>
      </c>
      <c r="Q482">
        <v>75.366666670000001</v>
      </c>
    </row>
    <row r="483" spans="1:17" x14ac:dyDescent="0.25">
      <c r="A483">
        <v>48</v>
      </c>
      <c r="B483">
        <v>27</v>
      </c>
      <c r="C483">
        <v>2</v>
      </c>
      <c r="D483">
        <v>2</v>
      </c>
      <c r="E483">
        <v>5</v>
      </c>
      <c r="F483">
        <v>3.0539999999999998</v>
      </c>
      <c r="G483">
        <v>1</v>
      </c>
      <c r="H483">
        <v>0</v>
      </c>
      <c r="I483">
        <v>0</v>
      </c>
      <c r="J483">
        <v>0</v>
      </c>
      <c r="K483">
        <v>0</v>
      </c>
      <c r="L483">
        <v>1</v>
      </c>
      <c r="M483">
        <v>1</v>
      </c>
      <c r="N483">
        <v>0</v>
      </c>
      <c r="O483">
        <v>1</v>
      </c>
      <c r="P483">
        <v>0</v>
      </c>
      <c r="Q483">
        <v>252.33333329999999</v>
      </c>
    </row>
    <row r="484" spans="1:17" x14ac:dyDescent="0.25">
      <c r="A484">
        <v>61</v>
      </c>
      <c r="B484">
        <v>16</v>
      </c>
      <c r="C484">
        <v>2</v>
      </c>
      <c r="D484">
        <v>2</v>
      </c>
      <c r="E484">
        <v>7</v>
      </c>
      <c r="F484">
        <v>4.032</v>
      </c>
      <c r="G484">
        <v>0</v>
      </c>
      <c r="H484">
        <v>0</v>
      </c>
      <c r="I484">
        <v>1</v>
      </c>
      <c r="J484">
        <v>0</v>
      </c>
      <c r="K484">
        <v>0</v>
      </c>
      <c r="L484">
        <v>1</v>
      </c>
      <c r="M484">
        <v>1</v>
      </c>
      <c r="N484">
        <v>0</v>
      </c>
      <c r="O484">
        <v>1</v>
      </c>
      <c r="P484">
        <v>1</v>
      </c>
      <c r="Q484">
        <v>100.7333333</v>
      </c>
    </row>
    <row r="485" spans="1:17" x14ac:dyDescent="0.25">
      <c r="A485">
        <v>62</v>
      </c>
      <c r="B485">
        <v>17</v>
      </c>
      <c r="C485">
        <v>1</v>
      </c>
      <c r="D485">
        <v>0</v>
      </c>
      <c r="E485">
        <v>6</v>
      </c>
      <c r="F485">
        <v>4.0339999999999998</v>
      </c>
      <c r="G485">
        <v>1</v>
      </c>
      <c r="H485">
        <v>0</v>
      </c>
      <c r="I485">
        <v>0</v>
      </c>
      <c r="J485">
        <v>0</v>
      </c>
      <c r="K485">
        <v>0</v>
      </c>
      <c r="L485">
        <v>1</v>
      </c>
      <c r="M485">
        <v>1</v>
      </c>
      <c r="N485">
        <v>0</v>
      </c>
      <c r="O485">
        <v>1</v>
      </c>
      <c r="P485">
        <v>0</v>
      </c>
      <c r="Q485">
        <v>257.76666669999997</v>
      </c>
    </row>
    <row r="486" spans="1:17" x14ac:dyDescent="0.25">
      <c r="A486">
        <v>50</v>
      </c>
      <c r="B486">
        <v>22</v>
      </c>
      <c r="C486">
        <v>3</v>
      </c>
      <c r="D486">
        <v>4</v>
      </c>
      <c r="E486">
        <v>5</v>
      </c>
      <c r="F486">
        <v>6.0439999999999996</v>
      </c>
      <c r="G486">
        <v>1</v>
      </c>
      <c r="H486">
        <v>0</v>
      </c>
      <c r="I486">
        <v>0</v>
      </c>
      <c r="J486">
        <v>0</v>
      </c>
      <c r="K486">
        <v>0</v>
      </c>
      <c r="L486">
        <v>1</v>
      </c>
      <c r="M486">
        <v>1</v>
      </c>
      <c r="N486">
        <v>1</v>
      </c>
      <c r="O486">
        <v>0</v>
      </c>
      <c r="P486">
        <v>1</v>
      </c>
      <c r="Q486">
        <v>167.43333329999999</v>
      </c>
    </row>
    <row r="487" spans="1:17" x14ac:dyDescent="0.25">
      <c r="A487">
        <v>42</v>
      </c>
      <c r="B487">
        <v>16</v>
      </c>
      <c r="C487">
        <v>2</v>
      </c>
      <c r="D487">
        <v>1</v>
      </c>
      <c r="E487">
        <v>4</v>
      </c>
      <c r="F487">
        <v>5.032</v>
      </c>
      <c r="G487">
        <v>1</v>
      </c>
      <c r="H487">
        <v>0</v>
      </c>
      <c r="I487">
        <v>0</v>
      </c>
      <c r="J487">
        <v>0</v>
      </c>
      <c r="K487">
        <v>0</v>
      </c>
      <c r="L487">
        <v>1</v>
      </c>
      <c r="M487">
        <v>1</v>
      </c>
      <c r="N487">
        <v>1</v>
      </c>
      <c r="O487">
        <v>0</v>
      </c>
      <c r="P487">
        <v>1</v>
      </c>
      <c r="Q487">
        <v>227.93333329999999</v>
      </c>
    </row>
    <row r="488" spans="1:17" x14ac:dyDescent="0.25">
      <c r="A488">
        <v>59</v>
      </c>
      <c r="B488">
        <v>28</v>
      </c>
      <c r="C488">
        <v>2</v>
      </c>
      <c r="D488">
        <v>1</v>
      </c>
      <c r="E488">
        <v>4</v>
      </c>
      <c r="F488">
        <v>5.056</v>
      </c>
      <c r="G488">
        <v>1</v>
      </c>
      <c r="H488">
        <v>0</v>
      </c>
      <c r="I488">
        <v>0</v>
      </c>
      <c r="J488">
        <v>0</v>
      </c>
      <c r="K488">
        <v>0</v>
      </c>
      <c r="L488">
        <v>1</v>
      </c>
      <c r="M488">
        <v>1</v>
      </c>
      <c r="N488">
        <v>1</v>
      </c>
      <c r="O488">
        <v>0</v>
      </c>
      <c r="P488">
        <v>1</v>
      </c>
      <c r="Q488">
        <v>221.2333333</v>
      </c>
    </row>
    <row r="489" spans="1:17" x14ac:dyDescent="0.25">
      <c r="A489">
        <v>66</v>
      </c>
      <c r="B489">
        <v>16</v>
      </c>
      <c r="C489">
        <v>1</v>
      </c>
      <c r="D489">
        <v>1</v>
      </c>
      <c r="E489">
        <v>1</v>
      </c>
      <c r="F489">
        <v>4.032</v>
      </c>
      <c r="G489">
        <v>1</v>
      </c>
      <c r="H489">
        <v>0</v>
      </c>
      <c r="I489">
        <v>0</v>
      </c>
      <c r="J489">
        <v>0</v>
      </c>
      <c r="K489">
        <v>0</v>
      </c>
      <c r="L489">
        <v>1</v>
      </c>
      <c r="M489">
        <v>1</v>
      </c>
      <c r="N489">
        <v>0</v>
      </c>
      <c r="O489">
        <v>1</v>
      </c>
      <c r="P489">
        <v>1</v>
      </c>
      <c r="Q489">
        <v>136.93333329999999</v>
      </c>
    </row>
    <row r="490" spans="1:17" x14ac:dyDescent="0.25">
      <c r="A490">
        <v>54</v>
      </c>
      <c r="B490">
        <v>13</v>
      </c>
      <c r="C490">
        <v>1</v>
      </c>
      <c r="D490">
        <v>0</v>
      </c>
      <c r="E490">
        <v>9</v>
      </c>
      <c r="F490">
        <v>3.0259999999999998</v>
      </c>
      <c r="G490">
        <v>1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0</v>
      </c>
      <c r="O490">
        <v>0</v>
      </c>
      <c r="P490">
        <v>0</v>
      </c>
      <c r="Q490">
        <v>219.66666669999901</v>
      </c>
    </row>
    <row r="491" spans="1:17" x14ac:dyDescent="0.25">
      <c r="A491">
        <v>43</v>
      </c>
      <c r="B491">
        <v>14</v>
      </c>
      <c r="C491">
        <v>1</v>
      </c>
      <c r="D491">
        <v>0</v>
      </c>
      <c r="E491">
        <v>12</v>
      </c>
      <c r="F491">
        <v>4.0279999999999996</v>
      </c>
      <c r="G491">
        <v>1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0</v>
      </c>
      <c r="O491">
        <v>1</v>
      </c>
      <c r="P491">
        <v>1</v>
      </c>
      <c r="Q491">
        <v>178.16666669999901</v>
      </c>
    </row>
    <row r="492" spans="1:17" x14ac:dyDescent="0.25">
      <c r="A492">
        <v>58</v>
      </c>
      <c r="B492">
        <v>13</v>
      </c>
      <c r="C492">
        <v>1</v>
      </c>
      <c r="D492">
        <v>0</v>
      </c>
      <c r="E492">
        <v>9</v>
      </c>
      <c r="F492">
        <v>4.0259999999999998</v>
      </c>
      <c r="G492">
        <v>1</v>
      </c>
      <c r="H492">
        <v>0</v>
      </c>
      <c r="I492">
        <v>0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</v>
      </c>
      <c r="P492">
        <v>1</v>
      </c>
      <c r="Q492">
        <v>145.5</v>
      </c>
    </row>
    <row r="493" spans="1:17" x14ac:dyDescent="0.25">
      <c r="A493">
        <v>44</v>
      </c>
      <c r="B493">
        <v>17</v>
      </c>
      <c r="C493">
        <v>2</v>
      </c>
      <c r="D493">
        <v>1</v>
      </c>
      <c r="E493">
        <v>3</v>
      </c>
      <c r="F493">
        <v>5.0339999999999998</v>
      </c>
      <c r="G493">
        <v>1</v>
      </c>
      <c r="H493">
        <v>0</v>
      </c>
      <c r="I493">
        <v>0</v>
      </c>
      <c r="J493">
        <v>0</v>
      </c>
      <c r="K493">
        <v>0</v>
      </c>
      <c r="L493">
        <v>1</v>
      </c>
      <c r="M493">
        <v>1</v>
      </c>
      <c r="N493">
        <v>1</v>
      </c>
      <c r="O493">
        <v>0</v>
      </c>
      <c r="P493">
        <v>1</v>
      </c>
      <c r="Q493">
        <v>248.7666667</v>
      </c>
    </row>
    <row r="494" spans="1:17" x14ac:dyDescent="0.25">
      <c r="A494">
        <v>58</v>
      </c>
      <c r="B494">
        <v>17</v>
      </c>
      <c r="C494">
        <v>1</v>
      </c>
      <c r="D494">
        <v>0</v>
      </c>
      <c r="E494">
        <v>7</v>
      </c>
      <c r="F494">
        <v>3.0339999999999998</v>
      </c>
      <c r="G494">
        <v>0</v>
      </c>
      <c r="H494">
        <v>1</v>
      </c>
      <c r="I494">
        <v>0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0</v>
      </c>
      <c r="P494">
        <v>1</v>
      </c>
      <c r="Q494">
        <v>252</v>
      </c>
    </row>
    <row r="495" spans="1:17" x14ac:dyDescent="0.25">
      <c r="A495">
        <v>50</v>
      </c>
      <c r="B495">
        <v>17</v>
      </c>
      <c r="C495">
        <v>1</v>
      </c>
      <c r="D495">
        <v>0</v>
      </c>
      <c r="E495">
        <v>2</v>
      </c>
      <c r="F495">
        <v>4.0339999999999998</v>
      </c>
      <c r="G495">
        <v>1</v>
      </c>
      <c r="H495">
        <v>0</v>
      </c>
      <c r="I495">
        <v>0</v>
      </c>
      <c r="J495">
        <v>0</v>
      </c>
      <c r="K495">
        <v>0</v>
      </c>
      <c r="L495">
        <v>1</v>
      </c>
      <c r="M495">
        <v>1</v>
      </c>
      <c r="N495">
        <v>0</v>
      </c>
      <c r="O495">
        <v>1</v>
      </c>
      <c r="P495">
        <v>1</v>
      </c>
      <c r="Q495">
        <v>236.1333333</v>
      </c>
    </row>
    <row r="496" spans="1:17" x14ac:dyDescent="0.25">
      <c r="A496">
        <v>41</v>
      </c>
      <c r="B496">
        <v>20</v>
      </c>
      <c r="C496">
        <v>1</v>
      </c>
      <c r="D496">
        <v>0</v>
      </c>
      <c r="E496">
        <v>2</v>
      </c>
      <c r="F496">
        <v>2.04</v>
      </c>
      <c r="G496">
        <v>0</v>
      </c>
      <c r="H496">
        <v>0</v>
      </c>
      <c r="I496">
        <v>0</v>
      </c>
      <c r="J496">
        <v>1</v>
      </c>
      <c r="K496">
        <v>0</v>
      </c>
      <c r="L496">
        <v>1</v>
      </c>
      <c r="M496">
        <v>1</v>
      </c>
      <c r="N496">
        <v>0</v>
      </c>
      <c r="O496">
        <v>0</v>
      </c>
      <c r="P496">
        <v>0</v>
      </c>
      <c r="Q496">
        <v>99.7</v>
      </c>
    </row>
    <row r="497" spans="1:17" x14ac:dyDescent="0.25">
      <c r="A497">
        <v>56</v>
      </c>
      <c r="B497">
        <v>26</v>
      </c>
      <c r="C497">
        <v>2</v>
      </c>
      <c r="D497">
        <v>3</v>
      </c>
      <c r="E497">
        <v>16</v>
      </c>
      <c r="F497">
        <v>5.0519999999999996</v>
      </c>
      <c r="G497">
        <v>1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0</v>
      </c>
      <c r="O497">
        <v>1</v>
      </c>
      <c r="P497">
        <v>1</v>
      </c>
      <c r="Q497">
        <v>55.833333330000002</v>
      </c>
    </row>
    <row r="498" spans="1:17" x14ac:dyDescent="0.25">
      <c r="A498">
        <v>50</v>
      </c>
      <c r="B498">
        <v>18</v>
      </c>
      <c r="C498">
        <v>1</v>
      </c>
      <c r="D498">
        <v>0</v>
      </c>
      <c r="E498">
        <v>9</v>
      </c>
      <c r="F498">
        <v>2.036</v>
      </c>
      <c r="G498">
        <v>1</v>
      </c>
      <c r="H498">
        <v>0</v>
      </c>
      <c r="I498">
        <v>0</v>
      </c>
      <c r="J498">
        <v>0</v>
      </c>
      <c r="K498">
        <v>0</v>
      </c>
      <c r="L498">
        <v>1</v>
      </c>
      <c r="M498">
        <v>1</v>
      </c>
      <c r="N498">
        <v>0</v>
      </c>
      <c r="O498">
        <v>0</v>
      </c>
      <c r="P498">
        <v>1</v>
      </c>
      <c r="Q498">
        <v>123.9</v>
      </c>
    </row>
    <row r="499" spans="1:17" x14ac:dyDescent="0.25">
      <c r="A499">
        <v>52</v>
      </c>
      <c r="B499">
        <v>17</v>
      </c>
      <c r="C499">
        <v>2</v>
      </c>
      <c r="D499">
        <v>1</v>
      </c>
      <c r="E499">
        <v>2</v>
      </c>
      <c r="F499">
        <v>5.0339999999999998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1</v>
      </c>
      <c r="P499">
        <v>1</v>
      </c>
      <c r="Q499">
        <v>51.2</v>
      </c>
    </row>
    <row r="500" spans="1:17" x14ac:dyDescent="0.25">
      <c r="A500">
        <v>63</v>
      </c>
      <c r="B500">
        <v>20</v>
      </c>
      <c r="C500">
        <v>3</v>
      </c>
      <c r="D500">
        <v>6</v>
      </c>
      <c r="E500">
        <v>2</v>
      </c>
      <c r="F500">
        <v>6.04</v>
      </c>
      <c r="G500">
        <v>1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1</v>
      </c>
      <c r="P500">
        <v>1</v>
      </c>
      <c r="Q500">
        <v>22.666666670000001</v>
      </c>
    </row>
    <row r="501" spans="1:17" x14ac:dyDescent="0.25">
      <c r="A501">
        <v>45</v>
      </c>
      <c r="B501">
        <v>28</v>
      </c>
      <c r="C501">
        <v>1</v>
      </c>
      <c r="D501">
        <v>0</v>
      </c>
      <c r="E501">
        <v>6</v>
      </c>
      <c r="F501">
        <v>4.056</v>
      </c>
      <c r="G501">
        <v>1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1</v>
      </c>
      <c r="P501">
        <v>0</v>
      </c>
      <c r="Q501">
        <v>41.533333329999998</v>
      </c>
    </row>
    <row r="502" spans="1:17" x14ac:dyDescent="0.25">
      <c r="A502">
        <v>29</v>
      </c>
      <c r="B502">
        <v>30</v>
      </c>
      <c r="C502">
        <v>2</v>
      </c>
      <c r="D502">
        <v>3</v>
      </c>
      <c r="E502">
        <v>6</v>
      </c>
      <c r="F502">
        <v>5.0599999999999996</v>
      </c>
      <c r="G502">
        <v>1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1</v>
      </c>
      <c r="O502">
        <v>0</v>
      </c>
      <c r="P502">
        <v>1</v>
      </c>
      <c r="Q502">
        <v>32.933333330000004</v>
      </c>
    </row>
    <row r="503" spans="1:17" x14ac:dyDescent="0.25">
      <c r="A503">
        <v>60</v>
      </c>
      <c r="B503">
        <v>18</v>
      </c>
      <c r="C503">
        <v>1</v>
      </c>
      <c r="D503">
        <v>0</v>
      </c>
      <c r="E503">
        <v>5</v>
      </c>
      <c r="F503">
        <v>4.0359999999999996</v>
      </c>
      <c r="G503">
        <v>1</v>
      </c>
      <c r="H503">
        <v>0</v>
      </c>
      <c r="I503">
        <v>0</v>
      </c>
      <c r="J503">
        <v>0</v>
      </c>
      <c r="K503">
        <v>0</v>
      </c>
      <c r="L503">
        <v>1</v>
      </c>
      <c r="M503">
        <v>1</v>
      </c>
      <c r="N503">
        <v>0</v>
      </c>
      <c r="O503">
        <v>1</v>
      </c>
      <c r="P503">
        <v>0</v>
      </c>
      <c r="Q503">
        <v>217.7666667</v>
      </c>
    </row>
    <row r="504" spans="1:17" x14ac:dyDescent="0.25">
      <c r="A504">
        <v>42</v>
      </c>
      <c r="B504">
        <v>25</v>
      </c>
      <c r="C504">
        <v>2</v>
      </c>
      <c r="D504">
        <v>1</v>
      </c>
      <c r="E504">
        <v>14</v>
      </c>
      <c r="F504">
        <v>5.05</v>
      </c>
      <c r="G504">
        <v>1</v>
      </c>
      <c r="H504">
        <v>0</v>
      </c>
      <c r="I504">
        <v>0</v>
      </c>
      <c r="J504">
        <v>0</v>
      </c>
      <c r="K504">
        <v>0</v>
      </c>
      <c r="L504">
        <v>1</v>
      </c>
      <c r="M504">
        <v>1</v>
      </c>
      <c r="N504">
        <v>1</v>
      </c>
      <c r="O504">
        <v>0</v>
      </c>
      <c r="P504">
        <v>1</v>
      </c>
      <c r="Q504">
        <v>236.06666669999899</v>
      </c>
    </row>
    <row r="505" spans="1:17" x14ac:dyDescent="0.25">
      <c r="A505">
        <v>48</v>
      </c>
      <c r="B505">
        <v>15</v>
      </c>
      <c r="C505">
        <v>1</v>
      </c>
      <c r="D505">
        <v>0</v>
      </c>
      <c r="E505">
        <v>6</v>
      </c>
      <c r="F505">
        <v>3.03</v>
      </c>
      <c r="G505">
        <v>1</v>
      </c>
      <c r="H505">
        <v>0</v>
      </c>
      <c r="I505">
        <v>0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0</v>
      </c>
      <c r="P505">
        <v>0</v>
      </c>
      <c r="Q505">
        <v>242.56666669999899</v>
      </c>
    </row>
    <row r="506" spans="1:17" x14ac:dyDescent="0.25">
      <c r="A506">
        <v>64</v>
      </c>
      <c r="B506">
        <v>19</v>
      </c>
      <c r="C506">
        <v>1</v>
      </c>
      <c r="D506">
        <v>0</v>
      </c>
      <c r="E506">
        <v>3</v>
      </c>
      <c r="F506">
        <v>3.0379999999999998</v>
      </c>
      <c r="G506">
        <v>1</v>
      </c>
      <c r="H506">
        <v>0</v>
      </c>
      <c r="I506">
        <v>0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0</v>
      </c>
      <c r="P506">
        <v>0</v>
      </c>
      <c r="Q506">
        <v>247</v>
      </c>
    </row>
    <row r="507" spans="1:17" x14ac:dyDescent="0.25">
      <c r="A507">
        <v>49</v>
      </c>
      <c r="B507">
        <v>32</v>
      </c>
      <c r="C507">
        <v>1</v>
      </c>
      <c r="D507">
        <v>0</v>
      </c>
      <c r="E507">
        <v>6</v>
      </c>
      <c r="F507">
        <v>3.0639999999999898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1</v>
      </c>
      <c r="N507">
        <v>0</v>
      </c>
      <c r="O507">
        <v>1</v>
      </c>
      <c r="P507">
        <v>0</v>
      </c>
      <c r="Q507">
        <v>248.7666667</v>
      </c>
    </row>
    <row r="508" spans="1:17" x14ac:dyDescent="0.25">
      <c r="A508">
        <v>63</v>
      </c>
      <c r="B508">
        <v>20</v>
      </c>
      <c r="C508">
        <v>2</v>
      </c>
      <c r="D508">
        <v>1</v>
      </c>
      <c r="E508">
        <v>4</v>
      </c>
      <c r="F508">
        <v>5.04</v>
      </c>
      <c r="G508">
        <v>0</v>
      </c>
      <c r="H508">
        <v>0</v>
      </c>
      <c r="I508">
        <v>0</v>
      </c>
      <c r="J508">
        <v>0</v>
      </c>
      <c r="K508">
        <v>1</v>
      </c>
      <c r="L508">
        <v>1</v>
      </c>
      <c r="M508">
        <v>1</v>
      </c>
      <c r="N508">
        <v>0</v>
      </c>
      <c r="O508">
        <v>1</v>
      </c>
      <c r="P508">
        <v>1</v>
      </c>
      <c r="Q508">
        <v>243.9</v>
      </c>
    </row>
    <row r="509" spans="1:17" x14ac:dyDescent="0.25">
      <c r="A509">
        <v>56</v>
      </c>
      <c r="B509">
        <v>20</v>
      </c>
      <c r="C509">
        <v>1</v>
      </c>
      <c r="D509">
        <v>0</v>
      </c>
      <c r="E509">
        <v>5</v>
      </c>
      <c r="F509">
        <v>4.04</v>
      </c>
      <c r="G509">
        <v>1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1</v>
      </c>
      <c r="Q509">
        <v>37.966666670000002</v>
      </c>
    </row>
    <row r="510" spans="1:17" x14ac:dyDescent="0.25">
      <c r="A510">
        <v>62</v>
      </c>
      <c r="B510">
        <v>30</v>
      </c>
      <c r="C510">
        <v>1</v>
      </c>
      <c r="D510">
        <v>0</v>
      </c>
      <c r="E510">
        <v>4</v>
      </c>
      <c r="F510">
        <v>3.06</v>
      </c>
      <c r="G510">
        <v>1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1</v>
      </c>
      <c r="P510">
        <v>0</v>
      </c>
      <c r="Q510">
        <v>148.7666667</v>
      </c>
    </row>
    <row r="511" spans="1:17" x14ac:dyDescent="0.25">
      <c r="A511">
        <v>33</v>
      </c>
      <c r="B511">
        <v>23</v>
      </c>
      <c r="C511">
        <v>1</v>
      </c>
      <c r="D511">
        <v>0</v>
      </c>
      <c r="E511">
        <v>8</v>
      </c>
      <c r="F511">
        <v>3.0459999999999998</v>
      </c>
      <c r="G511">
        <v>1</v>
      </c>
      <c r="H511">
        <v>0</v>
      </c>
      <c r="I511">
        <v>0</v>
      </c>
      <c r="J511">
        <v>0</v>
      </c>
      <c r="K511">
        <v>0</v>
      </c>
      <c r="L511">
        <v>1</v>
      </c>
      <c r="M511">
        <v>1</v>
      </c>
      <c r="N511">
        <v>0</v>
      </c>
      <c r="O511">
        <v>0</v>
      </c>
      <c r="P511">
        <v>1</v>
      </c>
      <c r="Q511">
        <v>241.2666667</v>
      </c>
    </row>
    <row r="512" spans="1:17" x14ac:dyDescent="0.25">
      <c r="A512">
        <v>39</v>
      </c>
      <c r="B512">
        <v>17</v>
      </c>
      <c r="C512">
        <v>1</v>
      </c>
      <c r="D512">
        <v>0</v>
      </c>
      <c r="E512">
        <v>5</v>
      </c>
      <c r="F512">
        <v>3.0339999999999998</v>
      </c>
      <c r="G512">
        <v>1</v>
      </c>
      <c r="H512">
        <v>0</v>
      </c>
      <c r="I512">
        <v>0</v>
      </c>
      <c r="J512">
        <v>0</v>
      </c>
      <c r="K512">
        <v>0</v>
      </c>
      <c r="L512">
        <v>1</v>
      </c>
      <c r="M512">
        <v>1</v>
      </c>
      <c r="N512">
        <v>0</v>
      </c>
      <c r="O512">
        <v>0</v>
      </c>
      <c r="P512">
        <v>0</v>
      </c>
      <c r="Q512">
        <v>241.8666667</v>
      </c>
    </row>
    <row r="513" spans="1:17" x14ac:dyDescent="0.25">
      <c r="A513">
        <v>48</v>
      </c>
      <c r="B513">
        <v>27</v>
      </c>
      <c r="C513">
        <v>3</v>
      </c>
      <c r="D513">
        <v>4</v>
      </c>
      <c r="E513">
        <v>5</v>
      </c>
      <c r="F513">
        <v>6.0539999999999896</v>
      </c>
      <c r="G513">
        <v>1</v>
      </c>
      <c r="H513">
        <v>0</v>
      </c>
      <c r="I513">
        <v>0</v>
      </c>
      <c r="J513">
        <v>0</v>
      </c>
      <c r="K513">
        <v>0</v>
      </c>
      <c r="L513">
        <v>1</v>
      </c>
      <c r="M513">
        <v>1</v>
      </c>
      <c r="N513">
        <v>1</v>
      </c>
      <c r="O513">
        <v>0</v>
      </c>
      <c r="P513">
        <v>1</v>
      </c>
      <c r="Q513">
        <v>109</v>
      </c>
    </row>
    <row r="514" spans="1:17" x14ac:dyDescent="0.25">
      <c r="A514">
        <v>47</v>
      </c>
      <c r="B514">
        <v>25</v>
      </c>
      <c r="C514">
        <v>1</v>
      </c>
      <c r="D514">
        <v>0</v>
      </c>
      <c r="E514">
        <v>8</v>
      </c>
      <c r="F514">
        <v>4.05</v>
      </c>
      <c r="G514">
        <v>0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1</v>
      </c>
      <c r="P514">
        <v>1</v>
      </c>
      <c r="Q514">
        <v>38.033333329999998</v>
      </c>
    </row>
    <row r="515" spans="1:17" x14ac:dyDescent="0.25">
      <c r="A515">
        <v>48</v>
      </c>
      <c r="B515">
        <v>28</v>
      </c>
      <c r="C515">
        <v>1</v>
      </c>
      <c r="D515">
        <v>0</v>
      </c>
      <c r="E515">
        <v>8</v>
      </c>
      <c r="F515">
        <v>4.056</v>
      </c>
      <c r="G515">
        <v>1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1</v>
      </c>
      <c r="P515">
        <v>1</v>
      </c>
      <c r="Q515">
        <v>26.766666669999999</v>
      </c>
    </row>
    <row r="516" spans="1:17" x14ac:dyDescent="0.25">
      <c r="A516">
        <v>57</v>
      </c>
      <c r="B516">
        <v>16</v>
      </c>
      <c r="C516">
        <v>1</v>
      </c>
      <c r="D516">
        <v>0</v>
      </c>
      <c r="E516">
        <v>8</v>
      </c>
      <c r="F516">
        <v>4.032</v>
      </c>
      <c r="G516">
        <v>1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1</v>
      </c>
      <c r="P516">
        <v>1</v>
      </c>
      <c r="Q516">
        <v>68.2</v>
      </c>
    </row>
    <row r="517" spans="1:17" x14ac:dyDescent="0.25">
      <c r="A517">
        <v>56</v>
      </c>
      <c r="B517">
        <v>20</v>
      </c>
      <c r="C517">
        <v>1</v>
      </c>
      <c r="D517">
        <v>0</v>
      </c>
      <c r="E517">
        <v>23</v>
      </c>
      <c r="F517">
        <v>4.04</v>
      </c>
      <c r="G517">
        <v>1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1</v>
      </c>
      <c r="Q517">
        <v>10.866666670000001</v>
      </c>
    </row>
    <row r="518" spans="1:17" x14ac:dyDescent="0.25">
      <c r="A518">
        <v>51</v>
      </c>
      <c r="B518">
        <v>27</v>
      </c>
      <c r="C518">
        <v>2</v>
      </c>
      <c r="D518">
        <v>1</v>
      </c>
      <c r="E518">
        <v>3</v>
      </c>
      <c r="F518">
        <v>4.0539999999999896</v>
      </c>
      <c r="G518">
        <v>1</v>
      </c>
      <c r="H518">
        <v>0</v>
      </c>
      <c r="I518">
        <v>0</v>
      </c>
      <c r="J518">
        <v>0</v>
      </c>
      <c r="K518">
        <v>0</v>
      </c>
      <c r="L518">
        <v>1</v>
      </c>
      <c r="M518">
        <v>1</v>
      </c>
      <c r="N518">
        <v>0</v>
      </c>
      <c r="O518">
        <v>1</v>
      </c>
      <c r="P518">
        <v>1</v>
      </c>
      <c r="Q518">
        <v>241.6</v>
      </c>
    </row>
    <row r="519" spans="1:17" x14ac:dyDescent="0.25">
      <c r="A519">
        <v>65</v>
      </c>
      <c r="B519">
        <v>23</v>
      </c>
      <c r="C519">
        <v>1</v>
      </c>
      <c r="D519">
        <v>0</v>
      </c>
      <c r="E519">
        <v>9</v>
      </c>
      <c r="F519">
        <v>4.0460000000000003</v>
      </c>
      <c r="G519">
        <v>1</v>
      </c>
      <c r="H519">
        <v>0</v>
      </c>
      <c r="I519">
        <v>0</v>
      </c>
      <c r="J519">
        <v>0</v>
      </c>
      <c r="K519">
        <v>0</v>
      </c>
      <c r="L519">
        <v>1</v>
      </c>
      <c r="M519">
        <v>1</v>
      </c>
      <c r="N519">
        <v>0</v>
      </c>
      <c r="O519">
        <v>1</v>
      </c>
      <c r="P519">
        <v>0</v>
      </c>
      <c r="Q519">
        <v>179.43333329999999</v>
      </c>
    </row>
    <row r="520" spans="1:17" x14ac:dyDescent="0.25">
      <c r="A520">
        <v>66</v>
      </c>
      <c r="B520">
        <v>16</v>
      </c>
      <c r="C520">
        <v>1</v>
      </c>
      <c r="D520">
        <v>0</v>
      </c>
      <c r="E520">
        <v>3</v>
      </c>
      <c r="F520">
        <v>3.032</v>
      </c>
      <c r="G520">
        <v>1</v>
      </c>
      <c r="H520">
        <v>0</v>
      </c>
      <c r="I520">
        <v>0</v>
      </c>
      <c r="J520">
        <v>0</v>
      </c>
      <c r="K520">
        <v>0</v>
      </c>
      <c r="L520">
        <v>1</v>
      </c>
      <c r="M520">
        <v>1</v>
      </c>
      <c r="N520">
        <v>0</v>
      </c>
      <c r="O520">
        <v>0</v>
      </c>
      <c r="P520">
        <v>1</v>
      </c>
      <c r="Q520">
        <v>241.2666667</v>
      </c>
    </row>
    <row r="521" spans="1:17" x14ac:dyDescent="0.25">
      <c r="A521">
        <v>53</v>
      </c>
      <c r="B521">
        <v>20</v>
      </c>
      <c r="C521">
        <v>2</v>
      </c>
      <c r="D521">
        <v>3</v>
      </c>
      <c r="E521">
        <v>3</v>
      </c>
      <c r="F521">
        <v>5.04</v>
      </c>
      <c r="G521">
        <v>1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1</v>
      </c>
      <c r="N521">
        <v>0</v>
      </c>
      <c r="O521">
        <v>1</v>
      </c>
      <c r="P521">
        <v>1</v>
      </c>
      <c r="Q521">
        <v>236.6333333</v>
      </c>
    </row>
    <row r="522" spans="1:17" x14ac:dyDescent="0.25">
      <c r="A522">
        <v>61</v>
      </c>
      <c r="B522">
        <v>40</v>
      </c>
      <c r="C522">
        <v>1</v>
      </c>
      <c r="D522">
        <v>0</v>
      </c>
      <c r="E522">
        <v>1</v>
      </c>
      <c r="F522">
        <v>4.08</v>
      </c>
      <c r="G522">
        <v>1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1</v>
      </c>
      <c r="P522">
        <v>0</v>
      </c>
      <c r="Q522">
        <v>136.2333333</v>
      </c>
    </row>
    <row r="523" spans="1:17" x14ac:dyDescent="0.25">
      <c r="A523">
        <v>38</v>
      </c>
      <c r="B523">
        <v>28</v>
      </c>
      <c r="C523">
        <v>3</v>
      </c>
      <c r="D523">
        <v>8</v>
      </c>
      <c r="E523">
        <v>8</v>
      </c>
      <c r="F523">
        <v>6.056</v>
      </c>
      <c r="G523">
        <v>1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1</v>
      </c>
      <c r="O523">
        <v>0</v>
      </c>
      <c r="P523">
        <v>1</v>
      </c>
      <c r="Q523">
        <v>23.2</v>
      </c>
    </row>
    <row r="524" spans="1:17" x14ac:dyDescent="0.25">
      <c r="A524">
        <v>40</v>
      </c>
      <c r="B524">
        <v>35</v>
      </c>
      <c r="C524">
        <v>2</v>
      </c>
      <c r="D524">
        <v>3</v>
      </c>
      <c r="E524">
        <v>6</v>
      </c>
      <c r="F524">
        <v>5.07</v>
      </c>
      <c r="G524">
        <v>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1</v>
      </c>
      <c r="O524">
        <v>0</v>
      </c>
      <c r="P524">
        <v>1</v>
      </c>
      <c r="Q524">
        <v>55.633333329999999</v>
      </c>
    </row>
    <row r="525" spans="1:17" x14ac:dyDescent="0.25">
      <c r="A525">
        <v>63</v>
      </c>
      <c r="B525">
        <v>20</v>
      </c>
      <c r="C525">
        <v>1</v>
      </c>
      <c r="D525">
        <v>0</v>
      </c>
      <c r="E525">
        <v>2</v>
      </c>
      <c r="F525">
        <v>4.04</v>
      </c>
      <c r="G525">
        <v>0</v>
      </c>
      <c r="H525">
        <v>0</v>
      </c>
      <c r="I525">
        <v>1</v>
      </c>
      <c r="J525">
        <v>0</v>
      </c>
      <c r="K525">
        <v>0</v>
      </c>
      <c r="L525">
        <v>1</v>
      </c>
      <c r="M525">
        <v>1</v>
      </c>
      <c r="N525">
        <v>0</v>
      </c>
      <c r="O525">
        <v>1</v>
      </c>
      <c r="P525">
        <v>1</v>
      </c>
      <c r="Q525">
        <v>240.7</v>
      </c>
    </row>
    <row r="526" spans="1:17" x14ac:dyDescent="0.25">
      <c r="A526">
        <v>52</v>
      </c>
      <c r="B526">
        <v>15</v>
      </c>
      <c r="C526">
        <v>1</v>
      </c>
      <c r="D526">
        <v>0</v>
      </c>
      <c r="E526">
        <v>6</v>
      </c>
      <c r="F526">
        <v>4.03</v>
      </c>
      <c r="G526">
        <v>1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1</v>
      </c>
      <c r="N526">
        <v>0</v>
      </c>
      <c r="O526">
        <v>1</v>
      </c>
      <c r="P526">
        <v>0</v>
      </c>
      <c r="Q526">
        <v>243.7666667</v>
      </c>
    </row>
    <row r="527" spans="1:17" x14ac:dyDescent="0.25">
      <c r="A527">
        <v>59</v>
      </c>
      <c r="B527">
        <v>25</v>
      </c>
      <c r="C527">
        <v>2</v>
      </c>
      <c r="D527">
        <v>3</v>
      </c>
      <c r="E527">
        <v>12</v>
      </c>
      <c r="F527">
        <v>5.05</v>
      </c>
      <c r="G527">
        <v>1</v>
      </c>
      <c r="H527">
        <v>0</v>
      </c>
      <c r="I527">
        <v>0</v>
      </c>
      <c r="J527">
        <v>0</v>
      </c>
      <c r="K527">
        <v>0</v>
      </c>
      <c r="L527">
        <v>1</v>
      </c>
      <c r="M527">
        <v>1</v>
      </c>
      <c r="N527">
        <v>1</v>
      </c>
      <c r="O527">
        <v>0</v>
      </c>
      <c r="P527">
        <v>1</v>
      </c>
      <c r="Q527">
        <v>226.7333333</v>
      </c>
    </row>
    <row r="528" spans="1:17" x14ac:dyDescent="0.25">
      <c r="A528">
        <v>41</v>
      </c>
      <c r="B528">
        <v>28</v>
      </c>
      <c r="C528">
        <v>2</v>
      </c>
      <c r="D528">
        <v>3</v>
      </c>
      <c r="E528">
        <v>4</v>
      </c>
      <c r="F528">
        <v>5.056</v>
      </c>
      <c r="G528">
        <v>1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1</v>
      </c>
      <c r="O528">
        <v>0</v>
      </c>
      <c r="P528">
        <v>1</v>
      </c>
      <c r="Q528">
        <v>50.033333329999998</v>
      </c>
    </row>
    <row r="529" spans="1:17" x14ac:dyDescent="0.25">
      <c r="A529">
        <v>50</v>
      </c>
      <c r="B529">
        <v>17</v>
      </c>
      <c r="C529">
        <v>2</v>
      </c>
      <c r="D529">
        <v>1</v>
      </c>
      <c r="E529">
        <v>4</v>
      </c>
      <c r="F529">
        <v>4.0339999999999998</v>
      </c>
      <c r="G529">
        <v>1</v>
      </c>
      <c r="H529">
        <v>0</v>
      </c>
      <c r="I529">
        <v>0</v>
      </c>
      <c r="J529">
        <v>0</v>
      </c>
      <c r="K529">
        <v>0</v>
      </c>
      <c r="L529">
        <v>1</v>
      </c>
      <c r="M529">
        <v>1</v>
      </c>
      <c r="N529">
        <v>0</v>
      </c>
      <c r="O529">
        <v>1</v>
      </c>
      <c r="P529">
        <v>1</v>
      </c>
      <c r="Q529">
        <v>138.33333329999999</v>
      </c>
    </row>
    <row r="530" spans="1:17" x14ac:dyDescent="0.25">
      <c r="A530">
        <v>55</v>
      </c>
      <c r="B530">
        <v>26</v>
      </c>
      <c r="C530">
        <v>3</v>
      </c>
      <c r="D530">
        <v>7</v>
      </c>
      <c r="E530">
        <v>6</v>
      </c>
      <c r="F530">
        <v>6.0519999999999996</v>
      </c>
      <c r="G530">
        <v>1</v>
      </c>
      <c r="H530">
        <v>0</v>
      </c>
      <c r="I530">
        <v>0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1</v>
      </c>
      <c r="P530">
        <v>1</v>
      </c>
      <c r="Q530">
        <v>228.8</v>
      </c>
    </row>
    <row r="531" spans="1:17" x14ac:dyDescent="0.25">
      <c r="A531">
        <v>59</v>
      </c>
      <c r="B531">
        <v>20</v>
      </c>
      <c r="C531">
        <v>1</v>
      </c>
      <c r="D531">
        <v>0</v>
      </c>
      <c r="E531">
        <v>7</v>
      </c>
      <c r="F531">
        <v>3.04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1</v>
      </c>
      <c r="M531">
        <v>1</v>
      </c>
      <c r="N531">
        <v>0</v>
      </c>
      <c r="O531">
        <v>1</v>
      </c>
      <c r="P531">
        <v>1</v>
      </c>
      <c r="Q531">
        <v>103.4666667</v>
      </c>
    </row>
    <row r="532" spans="1:17" x14ac:dyDescent="0.25">
      <c r="A532">
        <v>49</v>
      </c>
      <c r="B532">
        <v>26</v>
      </c>
      <c r="C532">
        <v>2</v>
      </c>
      <c r="D532">
        <v>1</v>
      </c>
      <c r="E532">
        <v>3</v>
      </c>
      <c r="F532">
        <v>4.0519999999999996</v>
      </c>
      <c r="G532">
        <v>0</v>
      </c>
      <c r="H532">
        <v>0</v>
      </c>
      <c r="I532">
        <v>1</v>
      </c>
      <c r="J532">
        <v>0</v>
      </c>
      <c r="K532">
        <v>0</v>
      </c>
      <c r="L532">
        <v>1</v>
      </c>
      <c r="M532">
        <v>1</v>
      </c>
      <c r="N532">
        <v>0</v>
      </c>
      <c r="O532">
        <v>1</v>
      </c>
      <c r="P532">
        <v>0</v>
      </c>
      <c r="Q532">
        <v>243.5</v>
      </c>
    </row>
    <row r="533" spans="1:17" x14ac:dyDescent="0.25">
      <c r="A533">
        <v>37</v>
      </c>
      <c r="B533">
        <v>30</v>
      </c>
      <c r="C533">
        <v>2</v>
      </c>
      <c r="D533">
        <v>1</v>
      </c>
      <c r="E533">
        <v>9</v>
      </c>
      <c r="F533">
        <v>5.0599999999999996</v>
      </c>
      <c r="G533">
        <v>1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1</v>
      </c>
      <c r="O533">
        <v>0</v>
      </c>
      <c r="P533">
        <v>1</v>
      </c>
      <c r="Q533">
        <v>25.43333333</v>
      </c>
    </row>
    <row r="534" spans="1:17" x14ac:dyDescent="0.25">
      <c r="A534">
        <v>38</v>
      </c>
      <c r="B534">
        <v>130</v>
      </c>
      <c r="C534">
        <v>3</v>
      </c>
      <c r="D534">
        <v>6</v>
      </c>
      <c r="E534">
        <v>4</v>
      </c>
      <c r="F534">
        <v>6.26</v>
      </c>
      <c r="G534">
        <v>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1</v>
      </c>
      <c r="O534">
        <v>0</v>
      </c>
      <c r="P534">
        <v>1</v>
      </c>
      <c r="Q534">
        <v>50.766666669999999</v>
      </c>
    </row>
    <row r="535" spans="1:17" x14ac:dyDescent="0.25">
      <c r="A535">
        <v>70</v>
      </c>
      <c r="B535">
        <v>21</v>
      </c>
      <c r="C535">
        <v>1</v>
      </c>
      <c r="D535">
        <v>0</v>
      </c>
      <c r="E535">
        <v>2</v>
      </c>
      <c r="F535">
        <v>4.0419999999999998</v>
      </c>
      <c r="G535">
        <v>1</v>
      </c>
      <c r="H535">
        <v>0</v>
      </c>
      <c r="I535">
        <v>0</v>
      </c>
      <c r="J535">
        <v>0</v>
      </c>
      <c r="K535">
        <v>0</v>
      </c>
      <c r="L535">
        <v>1</v>
      </c>
      <c r="M535">
        <v>1</v>
      </c>
      <c r="N535">
        <v>0</v>
      </c>
      <c r="O535">
        <v>1</v>
      </c>
      <c r="P535">
        <v>1</v>
      </c>
      <c r="Q535">
        <v>108.7666667</v>
      </c>
    </row>
    <row r="536" spans="1:17" x14ac:dyDescent="0.25">
      <c r="A536">
        <v>43</v>
      </c>
      <c r="B536">
        <v>17</v>
      </c>
      <c r="C536">
        <v>2</v>
      </c>
      <c r="D536">
        <v>1</v>
      </c>
      <c r="E536">
        <v>16</v>
      </c>
      <c r="F536">
        <v>4.0339999999999998</v>
      </c>
      <c r="G536">
        <v>0</v>
      </c>
      <c r="H536">
        <v>1</v>
      </c>
      <c r="I536">
        <v>0</v>
      </c>
      <c r="J536">
        <v>0</v>
      </c>
      <c r="K536">
        <v>0</v>
      </c>
      <c r="L536">
        <v>1</v>
      </c>
      <c r="M536">
        <v>1</v>
      </c>
      <c r="N536">
        <v>0</v>
      </c>
      <c r="O536">
        <v>1</v>
      </c>
      <c r="P536">
        <v>0</v>
      </c>
      <c r="Q536">
        <v>188.7333333</v>
      </c>
    </row>
    <row r="537" spans="1:17" x14ac:dyDescent="0.25">
      <c r="A537">
        <v>51</v>
      </c>
      <c r="B537">
        <v>17</v>
      </c>
      <c r="C537">
        <v>1</v>
      </c>
      <c r="D537">
        <v>0</v>
      </c>
      <c r="E537">
        <v>3</v>
      </c>
      <c r="F537">
        <v>3.0339999999999998</v>
      </c>
      <c r="G537">
        <v>1</v>
      </c>
      <c r="H537">
        <v>0</v>
      </c>
      <c r="I537">
        <v>0</v>
      </c>
      <c r="J537">
        <v>0</v>
      </c>
      <c r="K537">
        <v>0</v>
      </c>
      <c r="L537">
        <v>1</v>
      </c>
      <c r="M537">
        <v>1</v>
      </c>
      <c r="N537">
        <v>0</v>
      </c>
      <c r="O537">
        <v>0</v>
      </c>
      <c r="P537">
        <v>1</v>
      </c>
      <c r="Q537">
        <v>240.46666669999999</v>
      </c>
    </row>
    <row r="538" spans="1:17" x14ac:dyDescent="0.25">
      <c r="A538">
        <v>64</v>
      </c>
      <c r="B538">
        <v>30</v>
      </c>
      <c r="C538">
        <v>1</v>
      </c>
      <c r="D538">
        <v>0</v>
      </c>
      <c r="E538">
        <v>7</v>
      </c>
      <c r="F538">
        <v>4.0599999999999996</v>
      </c>
      <c r="G538">
        <v>1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0</v>
      </c>
      <c r="O538">
        <v>1</v>
      </c>
      <c r="P538">
        <v>0</v>
      </c>
      <c r="Q538">
        <v>119.8666667</v>
      </c>
    </row>
    <row r="539" spans="1:17" x14ac:dyDescent="0.25">
      <c r="A539">
        <v>51</v>
      </c>
      <c r="B539">
        <v>35</v>
      </c>
      <c r="C539">
        <v>2</v>
      </c>
      <c r="D539">
        <v>1</v>
      </c>
      <c r="E539">
        <v>14</v>
      </c>
      <c r="F539">
        <v>5.07</v>
      </c>
      <c r="G539">
        <v>1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1</v>
      </c>
      <c r="O539">
        <v>0</v>
      </c>
      <c r="P539">
        <v>1</v>
      </c>
      <c r="Q539">
        <v>32.833333330000002</v>
      </c>
    </row>
    <row r="540" spans="1:17" x14ac:dyDescent="0.25">
      <c r="A540">
        <v>57</v>
      </c>
      <c r="B540">
        <v>20</v>
      </c>
      <c r="C540">
        <v>1</v>
      </c>
      <c r="D540">
        <v>0</v>
      </c>
      <c r="E540">
        <v>5</v>
      </c>
      <c r="F540">
        <v>3.04</v>
      </c>
      <c r="G540">
        <v>1</v>
      </c>
      <c r="H540">
        <v>0</v>
      </c>
      <c r="I540">
        <v>0</v>
      </c>
      <c r="J540">
        <v>0</v>
      </c>
      <c r="K540">
        <v>0</v>
      </c>
      <c r="L540">
        <v>1</v>
      </c>
      <c r="M540">
        <v>1</v>
      </c>
      <c r="N540">
        <v>0</v>
      </c>
      <c r="O540">
        <v>0</v>
      </c>
      <c r="P540">
        <v>0</v>
      </c>
      <c r="Q540">
        <v>241.4</v>
      </c>
    </row>
    <row r="541" spans="1:17" x14ac:dyDescent="0.25">
      <c r="A541">
        <v>40</v>
      </c>
      <c r="B541">
        <v>16</v>
      </c>
      <c r="C541">
        <v>2</v>
      </c>
      <c r="D541">
        <v>2</v>
      </c>
      <c r="E541">
        <v>7</v>
      </c>
      <c r="F541">
        <v>4.032</v>
      </c>
      <c r="G541">
        <v>1</v>
      </c>
      <c r="H541">
        <v>0</v>
      </c>
      <c r="I541">
        <v>0</v>
      </c>
      <c r="J541">
        <v>0</v>
      </c>
      <c r="K541">
        <v>0</v>
      </c>
      <c r="L541">
        <v>1</v>
      </c>
      <c r="M541">
        <v>1</v>
      </c>
      <c r="N541">
        <v>0</v>
      </c>
      <c r="O541">
        <v>1</v>
      </c>
      <c r="P541">
        <v>1</v>
      </c>
      <c r="Q541">
        <v>234.2333333</v>
      </c>
    </row>
    <row r="542" spans="1:17" x14ac:dyDescent="0.25">
      <c r="A542">
        <v>21</v>
      </c>
      <c r="B542">
        <v>35</v>
      </c>
      <c r="C542">
        <v>3</v>
      </c>
      <c r="D542">
        <v>6</v>
      </c>
      <c r="E542">
        <v>5</v>
      </c>
      <c r="F542">
        <v>5.07</v>
      </c>
      <c r="G542">
        <v>0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</v>
      </c>
      <c r="O542">
        <v>0</v>
      </c>
      <c r="P542">
        <v>1</v>
      </c>
      <c r="Q542">
        <v>38.799999999999997</v>
      </c>
    </row>
    <row r="543" spans="1:17" x14ac:dyDescent="0.25">
      <c r="A543">
        <v>56</v>
      </c>
      <c r="B543">
        <v>55</v>
      </c>
      <c r="C543">
        <v>2</v>
      </c>
      <c r="D543">
        <v>2</v>
      </c>
      <c r="E543">
        <v>3</v>
      </c>
      <c r="F543">
        <v>5.1100000000000003</v>
      </c>
      <c r="G543">
        <v>1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1</v>
      </c>
      <c r="O543">
        <v>0</v>
      </c>
      <c r="P543">
        <v>1</v>
      </c>
      <c r="Q543">
        <v>62.533333329999998</v>
      </c>
    </row>
    <row r="544" spans="1:17" x14ac:dyDescent="0.25">
      <c r="A544">
        <v>60</v>
      </c>
      <c r="B544">
        <v>22</v>
      </c>
      <c r="C544">
        <v>2</v>
      </c>
      <c r="D544">
        <v>1</v>
      </c>
      <c r="E544">
        <v>1</v>
      </c>
      <c r="F544">
        <v>5.0439999999999996</v>
      </c>
      <c r="G544">
        <v>1</v>
      </c>
      <c r="H544">
        <v>0</v>
      </c>
      <c r="I544">
        <v>0</v>
      </c>
      <c r="J544">
        <v>0</v>
      </c>
      <c r="K544">
        <v>0</v>
      </c>
      <c r="L544">
        <v>1</v>
      </c>
      <c r="M544">
        <v>1</v>
      </c>
      <c r="N544">
        <v>0</v>
      </c>
      <c r="O544">
        <v>1</v>
      </c>
      <c r="P544">
        <v>1</v>
      </c>
      <c r="Q544">
        <v>231.66666669999901</v>
      </c>
    </row>
    <row r="545" spans="1:17" x14ac:dyDescent="0.25">
      <c r="A545">
        <v>43</v>
      </c>
      <c r="B545">
        <v>27</v>
      </c>
      <c r="C545">
        <v>1</v>
      </c>
      <c r="D545">
        <v>0</v>
      </c>
      <c r="E545">
        <v>6</v>
      </c>
      <c r="F545">
        <v>4.0539999999999896</v>
      </c>
      <c r="G545">
        <v>1</v>
      </c>
      <c r="H545">
        <v>0</v>
      </c>
      <c r="I545">
        <v>0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1</v>
      </c>
      <c r="P545">
        <v>1</v>
      </c>
      <c r="Q545">
        <v>237.1333333</v>
      </c>
    </row>
    <row r="546" spans="1:17" x14ac:dyDescent="0.25">
      <c r="A546">
        <v>41</v>
      </c>
      <c r="B546">
        <v>50</v>
      </c>
      <c r="C546">
        <v>2</v>
      </c>
      <c r="D546">
        <v>0</v>
      </c>
      <c r="E546">
        <v>2</v>
      </c>
      <c r="F546">
        <v>4.0999999999999996</v>
      </c>
      <c r="G546">
        <v>1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1</v>
      </c>
      <c r="O546">
        <v>0</v>
      </c>
      <c r="P546">
        <v>1</v>
      </c>
      <c r="Q546">
        <v>27.466666669999999</v>
      </c>
    </row>
    <row r="547" spans="1:17" x14ac:dyDescent="0.25">
      <c r="A547">
        <v>45</v>
      </c>
      <c r="B547">
        <v>20</v>
      </c>
      <c r="C547">
        <v>1</v>
      </c>
      <c r="D547">
        <v>0</v>
      </c>
      <c r="E547">
        <v>18</v>
      </c>
      <c r="F547">
        <v>3.04</v>
      </c>
      <c r="G547">
        <v>1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0</v>
      </c>
      <c r="O547">
        <v>0</v>
      </c>
      <c r="P547">
        <v>0</v>
      </c>
      <c r="Q547">
        <v>102.4</v>
      </c>
    </row>
    <row r="548" spans="1:17" x14ac:dyDescent="0.25">
      <c r="A548">
        <v>62</v>
      </c>
      <c r="B548">
        <v>20</v>
      </c>
      <c r="C548">
        <v>2</v>
      </c>
      <c r="D548">
        <v>1</v>
      </c>
      <c r="E548">
        <v>8</v>
      </c>
      <c r="F548">
        <v>5.04</v>
      </c>
      <c r="G548">
        <v>1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0</v>
      </c>
      <c r="O548">
        <v>1</v>
      </c>
      <c r="P548">
        <v>1</v>
      </c>
      <c r="Q548">
        <v>118.13333329999899</v>
      </c>
    </row>
    <row r="549" spans="1:17" x14ac:dyDescent="0.25">
      <c r="A549">
        <v>53</v>
      </c>
      <c r="B549">
        <v>31</v>
      </c>
      <c r="C549">
        <v>3</v>
      </c>
      <c r="D549">
        <v>5</v>
      </c>
      <c r="E549">
        <v>7</v>
      </c>
      <c r="F549">
        <v>6.0620000000000003</v>
      </c>
      <c r="G549">
        <v>1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1</v>
      </c>
      <c r="O549">
        <v>0</v>
      </c>
      <c r="P549">
        <v>1</v>
      </c>
      <c r="Q549">
        <v>15.5</v>
      </c>
    </row>
    <row r="550" spans="1:17" x14ac:dyDescent="0.25">
      <c r="A550">
        <v>66</v>
      </c>
      <c r="B550">
        <v>30</v>
      </c>
      <c r="C550">
        <v>1</v>
      </c>
      <c r="D550">
        <v>0</v>
      </c>
      <c r="E550">
        <v>12</v>
      </c>
      <c r="F550">
        <v>4.0599999999999996</v>
      </c>
      <c r="G550">
        <v>1</v>
      </c>
      <c r="H550">
        <v>0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0</v>
      </c>
      <c r="P550">
        <v>0</v>
      </c>
      <c r="Q550">
        <v>239.3</v>
      </c>
    </row>
    <row r="551" spans="1:17" x14ac:dyDescent="0.25">
      <c r="A551">
        <v>50</v>
      </c>
      <c r="B551">
        <v>27</v>
      </c>
      <c r="C551">
        <v>2</v>
      </c>
      <c r="D551">
        <v>3</v>
      </c>
      <c r="E551">
        <v>4</v>
      </c>
      <c r="F551">
        <v>5.0539999999999896</v>
      </c>
      <c r="G551">
        <v>1</v>
      </c>
      <c r="H551">
        <v>0</v>
      </c>
      <c r="I551">
        <v>0</v>
      </c>
      <c r="J551">
        <v>0</v>
      </c>
      <c r="K551">
        <v>0</v>
      </c>
      <c r="L551">
        <v>1</v>
      </c>
      <c r="M551">
        <v>1</v>
      </c>
      <c r="N551">
        <v>1</v>
      </c>
      <c r="O551">
        <v>0</v>
      </c>
      <c r="P551">
        <v>1</v>
      </c>
      <c r="Q551">
        <v>229.33333329999999</v>
      </c>
    </row>
    <row r="552" spans="1:17" x14ac:dyDescent="0.25">
      <c r="A552">
        <v>39</v>
      </c>
      <c r="B552">
        <v>16</v>
      </c>
      <c r="C552">
        <v>2</v>
      </c>
      <c r="D552">
        <v>1</v>
      </c>
      <c r="E552">
        <v>6</v>
      </c>
      <c r="F552">
        <v>5.032</v>
      </c>
      <c r="G552">
        <v>0</v>
      </c>
      <c r="H552">
        <v>0</v>
      </c>
      <c r="I552">
        <v>0</v>
      </c>
      <c r="J552">
        <v>0</v>
      </c>
      <c r="K552">
        <v>1</v>
      </c>
      <c r="L552">
        <v>1</v>
      </c>
      <c r="M552">
        <v>1</v>
      </c>
      <c r="N552">
        <v>0</v>
      </c>
      <c r="O552">
        <v>1</v>
      </c>
      <c r="P552">
        <v>1</v>
      </c>
      <c r="Q552">
        <v>240.83333329999999</v>
      </c>
    </row>
    <row r="553" spans="1:17" x14ac:dyDescent="0.25">
      <c r="A553">
        <v>65</v>
      </c>
      <c r="B553">
        <v>27</v>
      </c>
      <c r="C553">
        <v>3</v>
      </c>
      <c r="D553">
        <v>5</v>
      </c>
      <c r="E553">
        <v>26</v>
      </c>
      <c r="F553">
        <v>6.0539999999999896</v>
      </c>
      <c r="G553">
        <v>1</v>
      </c>
      <c r="H553">
        <v>0</v>
      </c>
      <c r="I553">
        <v>0</v>
      </c>
      <c r="J553">
        <v>0</v>
      </c>
      <c r="K553">
        <v>0</v>
      </c>
      <c r="L553">
        <v>1</v>
      </c>
      <c r="M553">
        <v>1</v>
      </c>
      <c r="N553">
        <v>0</v>
      </c>
      <c r="O553">
        <v>1</v>
      </c>
      <c r="P553">
        <v>1</v>
      </c>
      <c r="Q553">
        <v>236.7</v>
      </c>
    </row>
    <row r="554" spans="1:17" x14ac:dyDescent="0.25">
      <c r="A554">
        <v>60</v>
      </c>
      <c r="B554">
        <v>22</v>
      </c>
      <c r="C554">
        <v>2</v>
      </c>
      <c r="D554">
        <v>3</v>
      </c>
      <c r="E554">
        <v>3</v>
      </c>
      <c r="F554">
        <v>5.0439999999999996</v>
      </c>
      <c r="G554">
        <v>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0</v>
      </c>
      <c r="O554">
        <v>1</v>
      </c>
      <c r="P554">
        <v>1</v>
      </c>
      <c r="Q554">
        <v>86.066666670000004</v>
      </c>
    </row>
    <row r="555" spans="1:17" x14ac:dyDescent="0.25">
      <c r="A555">
        <v>71</v>
      </c>
      <c r="B555">
        <v>25</v>
      </c>
      <c r="C555">
        <v>1</v>
      </c>
      <c r="D555">
        <v>0</v>
      </c>
      <c r="E555">
        <v>7</v>
      </c>
      <c r="F555">
        <v>4.05</v>
      </c>
      <c r="G555">
        <v>1</v>
      </c>
      <c r="H555">
        <v>0</v>
      </c>
      <c r="I555">
        <v>0</v>
      </c>
      <c r="J555">
        <v>0</v>
      </c>
      <c r="K555">
        <v>0</v>
      </c>
      <c r="L555">
        <v>1</v>
      </c>
      <c r="M555">
        <v>1</v>
      </c>
      <c r="N555">
        <v>0</v>
      </c>
      <c r="O555">
        <v>0</v>
      </c>
      <c r="P555">
        <v>0</v>
      </c>
      <c r="Q555">
        <v>113.66666669999999</v>
      </c>
    </row>
    <row r="556" spans="1:17" x14ac:dyDescent="0.25">
      <c r="A556">
        <v>48</v>
      </c>
      <c r="B556">
        <v>15</v>
      </c>
      <c r="C556">
        <v>3</v>
      </c>
      <c r="D556">
        <v>6</v>
      </c>
      <c r="E556">
        <v>8</v>
      </c>
      <c r="F556">
        <v>5.03</v>
      </c>
      <c r="G556">
        <v>1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0</v>
      </c>
      <c r="O556">
        <v>1</v>
      </c>
      <c r="P556">
        <v>1</v>
      </c>
      <c r="Q556">
        <v>86.233333329999994</v>
      </c>
    </row>
    <row r="557" spans="1:17" x14ac:dyDescent="0.25">
      <c r="A557">
        <v>49</v>
      </c>
      <c r="B557">
        <v>21</v>
      </c>
      <c r="C557">
        <v>1</v>
      </c>
      <c r="D557">
        <v>0</v>
      </c>
      <c r="E557">
        <v>5</v>
      </c>
      <c r="F557">
        <v>4.0419999999999998</v>
      </c>
      <c r="G557">
        <v>1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1</v>
      </c>
      <c r="P557">
        <v>1</v>
      </c>
      <c r="Q557">
        <v>232.7333333</v>
      </c>
    </row>
    <row r="558" spans="1:17" x14ac:dyDescent="0.25">
      <c r="A558">
        <v>51</v>
      </c>
      <c r="B558">
        <v>80</v>
      </c>
      <c r="C558">
        <v>2</v>
      </c>
      <c r="D558">
        <v>2</v>
      </c>
      <c r="E558">
        <v>8</v>
      </c>
      <c r="F558">
        <v>5.16</v>
      </c>
      <c r="G558">
        <v>1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1</v>
      </c>
      <c r="O558">
        <v>0</v>
      </c>
      <c r="P558">
        <v>1</v>
      </c>
      <c r="Q558">
        <v>38.033333329999998</v>
      </c>
    </row>
    <row r="559" spans="1:17" x14ac:dyDescent="0.25">
      <c r="A559">
        <v>55</v>
      </c>
      <c r="B559">
        <v>25</v>
      </c>
      <c r="C559">
        <v>2</v>
      </c>
      <c r="D559">
        <v>0</v>
      </c>
      <c r="E559">
        <v>4</v>
      </c>
      <c r="F559">
        <v>4.05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1</v>
      </c>
      <c r="M559">
        <v>1</v>
      </c>
      <c r="N559">
        <v>1</v>
      </c>
      <c r="O559">
        <v>1</v>
      </c>
      <c r="P559">
        <v>1</v>
      </c>
      <c r="Q559">
        <v>236.03333330000001</v>
      </c>
    </row>
    <row r="560" spans="1:17" x14ac:dyDescent="0.25">
      <c r="A560">
        <v>53</v>
      </c>
      <c r="B560">
        <v>37</v>
      </c>
      <c r="C560">
        <v>1</v>
      </c>
      <c r="D560">
        <v>0</v>
      </c>
      <c r="E560">
        <v>8</v>
      </c>
      <c r="F560">
        <v>4.0739999999999998</v>
      </c>
      <c r="G560">
        <v>0</v>
      </c>
      <c r="H560">
        <v>1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1</v>
      </c>
      <c r="P560">
        <v>0</v>
      </c>
      <c r="Q560">
        <v>24.866666670000001</v>
      </c>
    </row>
    <row r="561" spans="1:17" x14ac:dyDescent="0.25">
      <c r="A561">
        <v>60</v>
      </c>
      <c r="B561">
        <v>12</v>
      </c>
      <c r="C561">
        <v>2</v>
      </c>
      <c r="D561">
        <v>1</v>
      </c>
      <c r="E561">
        <v>9</v>
      </c>
      <c r="F561">
        <v>4.024</v>
      </c>
      <c r="G561">
        <v>1</v>
      </c>
      <c r="H561">
        <v>0</v>
      </c>
      <c r="I561">
        <v>0</v>
      </c>
      <c r="J561">
        <v>0</v>
      </c>
      <c r="K561">
        <v>0</v>
      </c>
      <c r="L561">
        <v>1</v>
      </c>
      <c r="M561">
        <v>1</v>
      </c>
      <c r="N561">
        <v>0</v>
      </c>
      <c r="O561">
        <v>1</v>
      </c>
      <c r="P561">
        <v>1</v>
      </c>
      <c r="Q561">
        <v>214.7</v>
      </c>
    </row>
    <row r="562" spans="1:17" x14ac:dyDescent="0.25">
      <c r="A562">
        <v>68</v>
      </c>
      <c r="B562">
        <v>40</v>
      </c>
      <c r="C562">
        <v>1</v>
      </c>
      <c r="D562">
        <v>0</v>
      </c>
      <c r="E562">
        <v>8</v>
      </c>
      <c r="F562">
        <v>4.08</v>
      </c>
      <c r="G562">
        <v>1</v>
      </c>
      <c r="H562">
        <v>0</v>
      </c>
      <c r="I562">
        <v>0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0</v>
      </c>
      <c r="P562">
        <v>1</v>
      </c>
      <c r="Q562">
        <v>110.63333329999899</v>
      </c>
    </row>
    <row r="563" spans="1:17" x14ac:dyDescent="0.25">
      <c r="A563">
        <v>63</v>
      </c>
      <c r="B563">
        <v>34</v>
      </c>
      <c r="C563">
        <v>2</v>
      </c>
      <c r="D563">
        <v>3</v>
      </c>
      <c r="E563">
        <v>4</v>
      </c>
      <c r="F563">
        <v>5.0679999999999996</v>
      </c>
      <c r="G563">
        <v>1</v>
      </c>
      <c r="H563">
        <v>0</v>
      </c>
      <c r="I563">
        <v>0</v>
      </c>
      <c r="J563">
        <v>0</v>
      </c>
      <c r="K563">
        <v>0</v>
      </c>
      <c r="L563">
        <v>1</v>
      </c>
      <c r="M563">
        <v>1</v>
      </c>
      <c r="N563">
        <v>0</v>
      </c>
      <c r="O563">
        <v>1</v>
      </c>
      <c r="P563">
        <v>1</v>
      </c>
      <c r="Q563">
        <v>235.4</v>
      </c>
    </row>
    <row r="564" spans="1:17" x14ac:dyDescent="0.25">
      <c r="A564">
        <v>37</v>
      </c>
      <c r="B564">
        <v>5.5</v>
      </c>
      <c r="C564">
        <v>2</v>
      </c>
      <c r="D564">
        <v>1</v>
      </c>
      <c r="E564">
        <v>5</v>
      </c>
      <c r="F564">
        <v>5.0110000000000001</v>
      </c>
      <c r="G564">
        <v>1</v>
      </c>
      <c r="H564">
        <v>0</v>
      </c>
      <c r="I564">
        <v>0</v>
      </c>
      <c r="J564">
        <v>0</v>
      </c>
      <c r="K564">
        <v>0</v>
      </c>
      <c r="L564">
        <v>1</v>
      </c>
      <c r="M564">
        <v>1</v>
      </c>
      <c r="N564">
        <v>1</v>
      </c>
      <c r="O564">
        <v>0</v>
      </c>
      <c r="P564">
        <v>1</v>
      </c>
      <c r="Q564">
        <v>230.46666669999999</v>
      </c>
    </row>
    <row r="565" spans="1:17" x14ac:dyDescent="0.25">
      <c r="A565">
        <v>55</v>
      </c>
      <c r="B565">
        <v>18</v>
      </c>
      <c r="C565">
        <v>1</v>
      </c>
      <c r="D565">
        <v>0</v>
      </c>
      <c r="E565">
        <v>4</v>
      </c>
      <c r="F565">
        <v>4.0359999999999996</v>
      </c>
      <c r="G565">
        <v>1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1</v>
      </c>
      <c r="Q565">
        <v>38.799999999999997</v>
      </c>
    </row>
    <row r="566" spans="1:17" x14ac:dyDescent="0.25">
      <c r="A566">
        <v>70</v>
      </c>
      <c r="B566">
        <v>25</v>
      </c>
      <c r="C566">
        <v>2</v>
      </c>
      <c r="D566">
        <v>1</v>
      </c>
      <c r="E566">
        <v>2</v>
      </c>
      <c r="F566">
        <v>5.05</v>
      </c>
      <c r="G566">
        <v>1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1</v>
      </c>
      <c r="P566">
        <v>0</v>
      </c>
      <c r="Q566">
        <v>228.7666667</v>
      </c>
    </row>
    <row r="567" spans="1:17" x14ac:dyDescent="0.25">
      <c r="A567">
        <v>41</v>
      </c>
      <c r="B567">
        <v>20</v>
      </c>
      <c r="C567">
        <v>1</v>
      </c>
      <c r="D567">
        <v>0</v>
      </c>
      <c r="E567">
        <v>7</v>
      </c>
      <c r="F567">
        <v>2.04</v>
      </c>
      <c r="G567">
        <v>1</v>
      </c>
      <c r="H567">
        <v>0</v>
      </c>
      <c r="I567">
        <v>0</v>
      </c>
      <c r="J567">
        <v>0</v>
      </c>
      <c r="K567">
        <v>0</v>
      </c>
      <c r="L567">
        <v>1</v>
      </c>
      <c r="M567">
        <v>1</v>
      </c>
      <c r="N567">
        <v>0</v>
      </c>
      <c r="O567">
        <v>0</v>
      </c>
      <c r="P567">
        <v>0</v>
      </c>
      <c r="Q567">
        <v>222.1</v>
      </c>
    </row>
    <row r="568" spans="1:17" x14ac:dyDescent="0.25">
      <c r="A568">
        <v>51</v>
      </c>
      <c r="B568">
        <v>15</v>
      </c>
      <c r="C568">
        <v>1</v>
      </c>
      <c r="D568">
        <v>0</v>
      </c>
      <c r="E568">
        <v>6</v>
      </c>
      <c r="F568">
        <v>4.03</v>
      </c>
      <c r="G568">
        <v>1</v>
      </c>
      <c r="H568">
        <v>0</v>
      </c>
      <c r="I568">
        <v>0</v>
      </c>
      <c r="J568">
        <v>0</v>
      </c>
      <c r="K568">
        <v>0</v>
      </c>
      <c r="L568">
        <v>1</v>
      </c>
      <c r="M568">
        <v>1</v>
      </c>
      <c r="N568">
        <v>0</v>
      </c>
      <c r="O568">
        <v>1</v>
      </c>
      <c r="P568">
        <v>1</v>
      </c>
      <c r="Q568">
        <v>228</v>
      </c>
    </row>
    <row r="569" spans="1:17" x14ac:dyDescent="0.25">
      <c r="A569">
        <v>49</v>
      </c>
      <c r="B569">
        <v>15</v>
      </c>
      <c r="C569">
        <v>1</v>
      </c>
      <c r="D569">
        <v>0</v>
      </c>
      <c r="E569">
        <v>4</v>
      </c>
      <c r="F569">
        <v>4.03</v>
      </c>
      <c r="G569">
        <v>1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1</v>
      </c>
      <c r="Q569">
        <v>75.333333330000002</v>
      </c>
    </row>
    <row r="570" spans="1:17" x14ac:dyDescent="0.25">
      <c r="A570">
        <v>57</v>
      </c>
      <c r="B570">
        <v>25</v>
      </c>
      <c r="C570">
        <v>1</v>
      </c>
      <c r="D570">
        <v>0</v>
      </c>
      <c r="E570">
        <v>6</v>
      </c>
      <c r="F570">
        <v>4.05</v>
      </c>
      <c r="G570">
        <v>1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1</v>
      </c>
      <c r="P570">
        <v>0</v>
      </c>
      <c r="Q570">
        <v>92.733333329999994</v>
      </c>
    </row>
    <row r="571" spans="1:17" x14ac:dyDescent="0.25">
      <c r="A571">
        <v>48</v>
      </c>
      <c r="B571">
        <v>18</v>
      </c>
      <c r="C571">
        <v>1</v>
      </c>
      <c r="D571">
        <v>0</v>
      </c>
      <c r="E571">
        <v>5</v>
      </c>
      <c r="F571">
        <v>3.036</v>
      </c>
      <c r="G571">
        <v>0</v>
      </c>
      <c r="H571">
        <v>1</v>
      </c>
      <c r="I571">
        <v>0</v>
      </c>
      <c r="J571">
        <v>0</v>
      </c>
      <c r="K571">
        <v>0</v>
      </c>
      <c r="L571">
        <v>1</v>
      </c>
      <c r="M571">
        <v>1</v>
      </c>
      <c r="N571">
        <v>0</v>
      </c>
      <c r="O571">
        <v>0</v>
      </c>
      <c r="P571">
        <v>1</v>
      </c>
      <c r="Q571">
        <v>224.56666669999899</v>
      </c>
    </row>
    <row r="572" spans="1:17" x14ac:dyDescent="0.25">
      <c r="A572">
        <v>68</v>
      </c>
      <c r="B572">
        <v>24</v>
      </c>
      <c r="C572">
        <v>1</v>
      </c>
      <c r="D572">
        <v>0</v>
      </c>
      <c r="E572">
        <v>6</v>
      </c>
      <c r="F572">
        <v>1.048</v>
      </c>
      <c r="G572">
        <v>0</v>
      </c>
      <c r="H572">
        <v>0</v>
      </c>
      <c r="I572">
        <v>0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0</v>
      </c>
      <c r="P572">
        <v>0</v>
      </c>
      <c r="Q572">
        <v>228.33333329999999</v>
      </c>
    </row>
    <row r="573" spans="1:17" x14ac:dyDescent="0.25">
      <c r="A573">
        <v>49</v>
      </c>
      <c r="B573">
        <v>22</v>
      </c>
      <c r="C573">
        <v>1</v>
      </c>
      <c r="D573">
        <v>0</v>
      </c>
      <c r="E573">
        <v>8</v>
      </c>
      <c r="F573">
        <v>4.0439999999999996</v>
      </c>
      <c r="G573">
        <v>1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1</v>
      </c>
      <c r="P573">
        <v>1</v>
      </c>
      <c r="Q573">
        <v>126.4666667</v>
      </c>
    </row>
    <row r="574" spans="1:17" x14ac:dyDescent="0.25">
      <c r="A574">
        <v>60</v>
      </c>
      <c r="B574">
        <v>23</v>
      </c>
      <c r="C574">
        <v>1</v>
      </c>
      <c r="D574">
        <v>0</v>
      </c>
      <c r="E574">
        <v>5</v>
      </c>
      <c r="F574">
        <v>4.0460000000000003</v>
      </c>
      <c r="G574">
        <v>1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1</v>
      </c>
      <c r="P574">
        <v>1</v>
      </c>
      <c r="Q574">
        <v>134.46666669999999</v>
      </c>
    </row>
    <row r="575" spans="1:17" x14ac:dyDescent="0.25">
      <c r="A575">
        <v>53</v>
      </c>
      <c r="B575">
        <v>16</v>
      </c>
      <c r="C575">
        <v>1</v>
      </c>
      <c r="D575">
        <v>0</v>
      </c>
      <c r="E575">
        <v>5</v>
      </c>
      <c r="F575">
        <v>3.032</v>
      </c>
      <c r="G575">
        <v>1</v>
      </c>
      <c r="H575">
        <v>0</v>
      </c>
      <c r="I575">
        <v>0</v>
      </c>
      <c r="J575">
        <v>0</v>
      </c>
      <c r="K575">
        <v>0</v>
      </c>
      <c r="L575">
        <v>1</v>
      </c>
      <c r="M575">
        <v>1</v>
      </c>
      <c r="N575">
        <v>0</v>
      </c>
      <c r="O575">
        <v>0</v>
      </c>
      <c r="P575">
        <v>1</v>
      </c>
      <c r="Q575">
        <v>287.23333330000003</v>
      </c>
    </row>
    <row r="576" spans="1:17" x14ac:dyDescent="0.25">
      <c r="A576">
        <v>54</v>
      </c>
      <c r="B576">
        <v>24</v>
      </c>
      <c r="C576">
        <v>2</v>
      </c>
      <c r="D576">
        <v>1</v>
      </c>
      <c r="E576">
        <v>8</v>
      </c>
      <c r="F576">
        <v>5.048</v>
      </c>
      <c r="G576">
        <v>1</v>
      </c>
      <c r="H576">
        <v>0</v>
      </c>
      <c r="I576">
        <v>0</v>
      </c>
      <c r="J576">
        <v>0</v>
      </c>
      <c r="K576">
        <v>0</v>
      </c>
      <c r="L576">
        <v>1</v>
      </c>
      <c r="M576">
        <v>1</v>
      </c>
      <c r="N576">
        <v>0</v>
      </c>
      <c r="O576">
        <v>1</v>
      </c>
      <c r="P576">
        <v>1</v>
      </c>
      <c r="Q576">
        <v>226.06666669999899</v>
      </c>
    </row>
    <row r="577" spans="1:17" x14ac:dyDescent="0.25">
      <c r="A577">
        <v>65</v>
      </c>
      <c r="B577">
        <v>20</v>
      </c>
      <c r="C577">
        <v>1</v>
      </c>
      <c r="D577">
        <v>0</v>
      </c>
      <c r="E577">
        <v>8</v>
      </c>
      <c r="F577">
        <v>3.04</v>
      </c>
      <c r="G577">
        <v>0</v>
      </c>
      <c r="H577">
        <v>1</v>
      </c>
      <c r="I577">
        <v>0</v>
      </c>
      <c r="J577">
        <v>0</v>
      </c>
      <c r="K577">
        <v>0</v>
      </c>
      <c r="L577">
        <v>1</v>
      </c>
      <c r="M577">
        <v>1</v>
      </c>
      <c r="N577">
        <v>0</v>
      </c>
      <c r="O577">
        <v>0</v>
      </c>
      <c r="P577">
        <v>0</v>
      </c>
      <c r="Q577">
        <v>72.3</v>
      </c>
    </row>
    <row r="578" spans="1:17" x14ac:dyDescent="0.25">
      <c r="A578">
        <v>43</v>
      </c>
      <c r="B578">
        <v>23</v>
      </c>
      <c r="C578">
        <v>1</v>
      </c>
      <c r="D578">
        <v>0</v>
      </c>
      <c r="E578">
        <v>4</v>
      </c>
      <c r="F578">
        <v>4.0460000000000003</v>
      </c>
      <c r="G578">
        <v>1</v>
      </c>
      <c r="H578">
        <v>0</v>
      </c>
      <c r="I578">
        <v>0</v>
      </c>
      <c r="J578">
        <v>0</v>
      </c>
      <c r="K578">
        <v>0</v>
      </c>
      <c r="L578">
        <v>1</v>
      </c>
      <c r="M578">
        <v>1</v>
      </c>
      <c r="N578">
        <v>0</v>
      </c>
      <c r="O578">
        <v>1</v>
      </c>
      <c r="P578">
        <v>1</v>
      </c>
      <c r="Q578">
        <v>225.5</v>
      </c>
    </row>
    <row r="579" spans="1:17" x14ac:dyDescent="0.25">
      <c r="A579">
        <v>63</v>
      </c>
      <c r="B579">
        <v>12</v>
      </c>
      <c r="C579">
        <v>1</v>
      </c>
      <c r="D579">
        <v>0</v>
      </c>
      <c r="E579">
        <v>8</v>
      </c>
      <c r="F579">
        <v>2.024</v>
      </c>
      <c r="G579">
        <v>0</v>
      </c>
      <c r="H579">
        <v>1</v>
      </c>
      <c r="I579">
        <v>0</v>
      </c>
      <c r="J579">
        <v>0</v>
      </c>
      <c r="K579">
        <v>0</v>
      </c>
      <c r="L579">
        <v>1</v>
      </c>
      <c r="M579">
        <v>1</v>
      </c>
      <c r="N579">
        <v>0</v>
      </c>
      <c r="O579">
        <v>0</v>
      </c>
      <c r="P579">
        <v>0</v>
      </c>
      <c r="Q579">
        <v>99.233333329999994</v>
      </c>
    </row>
    <row r="580" spans="1:17" x14ac:dyDescent="0.25">
      <c r="A580">
        <v>49</v>
      </c>
      <c r="B580">
        <v>15</v>
      </c>
      <c r="C580">
        <v>1</v>
      </c>
      <c r="D580">
        <v>0</v>
      </c>
      <c r="E580">
        <v>4</v>
      </c>
      <c r="F580">
        <v>2.0299999999999998</v>
      </c>
      <c r="G580">
        <v>1</v>
      </c>
      <c r="H580">
        <v>0</v>
      </c>
      <c r="I580">
        <v>0</v>
      </c>
      <c r="J580">
        <v>0</v>
      </c>
      <c r="K580">
        <v>0</v>
      </c>
      <c r="L580">
        <v>1</v>
      </c>
      <c r="M580">
        <v>1</v>
      </c>
      <c r="N580">
        <v>0</v>
      </c>
      <c r="O580">
        <v>1</v>
      </c>
      <c r="P580">
        <v>1</v>
      </c>
      <c r="Q580">
        <v>199.96666669999999</v>
      </c>
    </row>
    <row r="581" spans="1:17" x14ac:dyDescent="0.25">
      <c r="A581">
        <v>54</v>
      </c>
      <c r="B581">
        <v>12</v>
      </c>
      <c r="C581">
        <v>1</v>
      </c>
      <c r="D581">
        <v>0</v>
      </c>
      <c r="E581">
        <v>9</v>
      </c>
      <c r="F581">
        <v>4.024</v>
      </c>
      <c r="G581">
        <v>1</v>
      </c>
      <c r="H581">
        <v>0</v>
      </c>
      <c r="I581">
        <v>0</v>
      </c>
      <c r="J581">
        <v>0</v>
      </c>
      <c r="K581">
        <v>0</v>
      </c>
      <c r="L581">
        <v>1</v>
      </c>
      <c r="M581">
        <v>1</v>
      </c>
      <c r="N581">
        <v>0</v>
      </c>
      <c r="O581">
        <v>0</v>
      </c>
      <c r="P581">
        <v>1</v>
      </c>
      <c r="Q581">
        <v>225.5</v>
      </c>
    </row>
    <row r="582" spans="1:17" x14ac:dyDescent="0.25">
      <c r="A582">
        <v>35</v>
      </c>
      <c r="B582">
        <v>15</v>
      </c>
      <c r="C582">
        <v>1</v>
      </c>
      <c r="D582">
        <v>0</v>
      </c>
      <c r="E582">
        <v>6</v>
      </c>
      <c r="F582">
        <v>3.03</v>
      </c>
      <c r="G582">
        <v>1</v>
      </c>
      <c r="H582">
        <v>0</v>
      </c>
      <c r="I582">
        <v>0</v>
      </c>
      <c r="J582">
        <v>0</v>
      </c>
      <c r="K582">
        <v>0</v>
      </c>
      <c r="L582">
        <v>1</v>
      </c>
      <c r="M582">
        <v>1</v>
      </c>
      <c r="N582">
        <v>0</v>
      </c>
      <c r="O582">
        <v>0</v>
      </c>
      <c r="P582">
        <v>1</v>
      </c>
      <c r="Q582">
        <v>186.43333329999999</v>
      </c>
    </row>
    <row r="583" spans="1:17" x14ac:dyDescent="0.25">
      <c r="A583">
        <v>57</v>
      </c>
      <c r="B583">
        <v>13</v>
      </c>
      <c r="C583">
        <v>1</v>
      </c>
      <c r="D583">
        <v>0</v>
      </c>
      <c r="E583">
        <v>9</v>
      </c>
      <c r="F583">
        <v>4.0259999999999998</v>
      </c>
      <c r="G583">
        <v>1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0</v>
      </c>
      <c r="P583">
        <v>1</v>
      </c>
      <c r="Q583">
        <v>100.8666667</v>
      </c>
    </row>
    <row r="584" spans="1:17" x14ac:dyDescent="0.25">
      <c r="A584">
        <v>74</v>
      </c>
      <c r="B584">
        <v>40</v>
      </c>
      <c r="C584">
        <v>2</v>
      </c>
      <c r="D584">
        <v>0</v>
      </c>
      <c r="E584">
        <v>9</v>
      </c>
      <c r="F584">
        <v>3.08</v>
      </c>
      <c r="G584">
        <v>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0</v>
      </c>
      <c r="O584">
        <v>1</v>
      </c>
      <c r="P584">
        <v>1</v>
      </c>
      <c r="Q584">
        <v>49.666666669999998</v>
      </c>
    </row>
    <row r="585" spans="1:17" x14ac:dyDescent="0.25">
      <c r="A585">
        <v>70</v>
      </c>
      <c r="B585">
        <v>20</v>
      </c>
      <c r="C585">
        <v>1</v>
      </c>
      <c r="D585">
        <v>0</v>
      </c>
      <c r="E585">
        <v>6</v>
      </c>
      <c r="F585">
        <v>3.04</v>
      </c>
      <c r="G585">
        <v>1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0</v>
      </c>
      <c r="O585">
        <v>0</v>
      </c>
      <c r="P585">
        <v>1</v>
      </c>
      <c r="Q585">
        <v>106.5666667</v>
      </c>
    </row>
    <row r="586" spans="1:17" x14ac:dyDescent="0.25">
      <c r="A586">
        <v>61</v>
      </c>
      <c r="B586">
        <v>15</v>
      </c>
      <c r="C586">
        <v>1</v>
      </c>
      <c r="D586">
        <v>0</v>
      </c>
      <c r="E586">
        <v>8</v>
      </c>
      <c r="F586">
        <v>4.03</v>
      </c>
      <c r="G586">
        <v>1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1</v>
      </c>
      <c r="P586">
        <v>1</v>
      </c>
      <c r="Q586">
        <v>256.8666667</v>
      </c>
    </row>
    <row r="587" spans="1:17" x14ac:dyDescent="0.25">
      <c r="A587">
        <v>66</v>
      </c>
      <c r="B587">
        <v>18</v>
      </c>
      <c r="C587">
        <v>1</v>
      </c>
      <c r="D587">
        <v>0</v>
      </c>
      <c r="E587">
        <v>4</v>
      </c>
      <c r="F587">
        <v>3.036</v>
      </c>
      <c r="G587">
        <v>0</v>
      </c>
      <c r="H587">
        <v>0</v>
      </c>
      <c r="I587">
        <v>1</v>
      </c>
      <c r="J587">
        <v>0</v>
      </c>
      <c r="K587">
        <v>0</v>
      </c>
      <c r="L587">
        <v>1</v>
      </c>
      <c r="M587">
        <v>1</v>
      </c>
      <c r="N587">
        <v>0</v>
      </c>
      <c r="O587">
        <v>1</v>
      </c>
      <c r="P587">
        <v>1</v>
      </c>
      <c r="Q587">
        <v>188.3666667</v>
      </c>
    </row>
    <row r="588" spans="1:17" x14ac:dyDescent="0.25">
      <c r="A588">
        <v>64</v>
      </c>
      <c r="B588">
        <v>35</v>
      </c>
      <c r="C588">
        <v>2</v>
      </c>
      <c r="D588">
        <v>3</v>
      </c>
      <c r="E588">
        <v>4</v>
      </c>
      <c r="F588">
        <v>5.07</v>
      </c>
      <c r="G588">
        <v>1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0</v>
      </c>
      <c r="O588">
        <v>1</v>
      </c>
      <c r="P588">
        <v>0</v>
      </c>
      <c r="Q588">
        <v>44.733333330000001</v>
      </c>
    </row>
    <row r="589" spans="1:17" x14ac:dyDescent="0.25">
      <c r="A589">
        <v>56</v>
      </c>
      <c r="B589">
        <v>25</v>
      </c>
      <c r="C589">
        <v>2</v>
      </c>
      <c r="D589">
        <v>0</v>
      </c>
      <c r="E589">
        <v>7</v>
      </c>
      <c r="F589">
        <v>4.05</v>
      </c>
      <c r="G589">
        <v>1</v>
      </c>
      <c r="H589">
        <v>0</v>
      </c>
      <c r="I589">
        <v>0</v>
      </c>
      <c r="J589">
        <v>0</v>
      </c>
      <c r="K589">
        <v>0</v>
      </c>
      <c r="L589">
        <v>1</v>
      </c>
      <c r="M589">
        <v>1</v>
      </c>
      <c r="N589">
        <v>0</v>
      </c>
      <c r="O589">
        <v>1</v>
      </c>
      <c r="P589">
        <v>1</v>
      </c>
      <c r="Q589">
        <v>124.1</v>
      </c>
    </row>
    <row r="590" spans="1:17" x14ac:dyDescent="0.25">
      <c r="A590">
        <v>82</v>
      </c>
      <c r="B590">
        <v>22</v>
      </c>
      <c r="C590">
        <v>3</v>
      </c>
      <c r="D590">
        <v>5</v>
      </c>
      <c r="E590">
        <v>9</v>
      </c>
      <c r="F590">
        <v>5.0439999999999996</v>
      </c>
      <c r="G590">
        <v>0</v>
      </c>
      <c r="H590">
        <v>0</v>
      </c>
      <c r="I590">
        <v>1</v>
      </c>
      <c r="J590">
        <v>0</v>
      </c>
      <c r="K590">
        <v>0</v>
      </c>
      <c r="L590">
        <v>0</v>
      </c>
      <c r="M590">
        <v>1</v>
      </c>
      <c r="N590">
        <v>0</v>
      </c>
      <c r="O590">
        <v>1</v>
      </c>
      <c r="P590">
        <v>1</v>
      </c>
      <c r="Q590">
        <v>15.2</v>
      </c>
    </row>
    <row r="591" spans="1:17" x14ac:dyDescent="0.25">
      <c r="A591">
        <v>65</v>
      </c>
      <c r="B591">
        <v>20</v>
      </c>
      <c r="C591">
        <v>2</v>
      </c>
      <c r="D591">
        <v>1</v>
      </c>
      <c r="E591">
        <v>7</v>
      </c>
      <c r="F591">
        <v>4.04</v>
      </c>
      <c r="G591">
        <v>1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0</v>
      </c>
      <c r="O591">
        <v>1</v>
      </c>
      <c r="P591">
        <v>1</v>
      </c>
      <c r="Q591">
        <v>67.8</v>
      </c>
    </row>
    <row r="592" spans="1:17" x14ac:dyDescent="0.25">
      <c r="A592">
        <v>43</v>
      </c>
      <c r="B592">
        <v>20</v>
      </c>
      <c r="C592">
        <v>2</v>
      </c>
      <c r="D592">
        <v>13</v>
      </c>
      <c r="E592">
        <v>5</v>
      </c>
      <c r="F592">
        <v>6.04</v>
      </c>
      <c r="G592">
        <v>1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1</v>
      </c>
      <c r="O592">
        <v>0</v>
      </c>
      <c r="P592">
        <v>1</v>
      </c>
      <c r="Q592">
        <v>15.633333329999999</v>
      </c>
    </row>
    <row r="593" spans="1:17" x14ac:dyDescent="0.25">
      <c r="A593">
        <v>64</v>
      </c>
      <c r="B593">
        <v>43</v>
      </c>
      <c r="C593">
        <v>2</v>
      </c>
      <c r="D593">
        <v>0</v>
      </c>
      <c r="E593">
        <v>5</v>
      </c>
      <c r="F593">
        <v>4.0860000000000003</v>
      </c>
      <c r="G593">
        <v>0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0</v>
      </c>
      <c r="O593">
        <v>0</v>
      </c>
      <c r="P593">
        <v>0</v>
      </c>
      <c r="Q593">
        <v>184.7</v>
      </c>
    </row>
    <row r="594" spans="1:17" x14ac:dyDescent="0.25">
      <c r="A594">
        <v>67</v>
      </c>
      <c r="B594">
        <v>30</v>
      </c>
      <c r="C594">
        <v>2</v>
      </c>
      <c r="D594">
        <v>0</v>
      </c>
      <c r="E594">
        <v>3</v>
      </c>
      <c r="F594">
        <v>3.06</v>
      </c>
      <c r="G594">
        <v>1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0</v>
      </c>
      <c r="O594">
        <v>1</v>
      </c>
      <c r="P594">
        <v>1</v>
      </c>
      <c r="Q594">
        <v>84.5</v>
      </c>
    </row>
    <row r="595" spans="1:17" x14ac:dyDescent="0.25">
      <c r="A595">
        <v>58</v>
      </c>
      <c r="B595">
        <v>40</v>
      </c>
      <c r="C595">
        <v>2</v>
      </c>
      <c r="D595">
        <v>0</v>
      </c>
      <c r="E595">
        <v>5</v>
      </c>
      <c r="F595">
        <v>2.08</v>
      </c>
      <c r="G595">
        <v>1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0</v>
      </c>
      <c r="O595">
        <v>0</v>
      </c>
      <c r="P595">
        <v>0</v>
      </c>
      <c r="Q595">
        <v>55.233333330000001</v>
      </c>
    </row>
    <row r="596" spans="1:17" x14ac:dyDescent="0.25">
      <c r="A596">
        <v>72</v>
      </c>
      <c r="B596">
        <v>35</v>
      </c>
      <c r="C596">
        <v>2</v>
      </c>
      <c r="D596">
        <v>1</v>
      </c>
      <c r="E596">
        <v>5</v>
      </c>
      <c r="F596">
        <v>4.07</v>
      </c>
      <c r="G596">
        <v>1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0</v>
      </c>
      <c r="O596">
        <v>1</v>
      </c>
      <c r="P596">
        <v>1</v>
      </c>
      <c r="Q596">
        <v>65.5</v>
      </c>
    </row>
    <row r="597" spans="1:17" x14ac:dyDescent="0.25">
      <c r="A597">
        <v>54</v>
      </c>
      <c r="B597">
        <v>30</v>
      </c>
      <c r="C597">
        <v>2</v>
      </c>
      <c r="D597">
        <v>5</v>
      </c>
      <c r="E597">
        <v>11</v>
      </c>
      <c r="F597">
        <v>5.0599999999999996</v>
      </c>
      <c r="G597">
        <v>1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0</v>
      </c>
      <c r="O597">
        <v>1</v>
      </c>
      <c r="P597">
        <v>1</v>
      </c>
      <c r="Q597">
        <v>36.366666670000001</v>
      </c>
    </row>
    <row r="598" spans="1:17" x14ac:dyDescent="0.25">
      <c r="A598">
        <v>67</v>
      </c>
      <c r="B598">
        <v>20</v>
      </c>
      <c r="C598">
        <v>1</v>
      </c>
      <c r="D598">
        <v>0</v>
      </c>
      <c r="E598">
        <v>5</v>
      </c>
      <c r="F598">
        <v>3.04</v>
      </c>
      <c r="G598">
        <v>1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0</v>
      </c>
      <c r="O598">
        <v>0</v>
      </c>
      <c r="P598">
        <v>0</v>
      </c>
      <c r="Q598">
        <v>335.73333330000003</v>
      </c>
    </row>
    <row r="599" spans="1:17" x14ac:dyDescent="0.25">
      <c r="A599">
        <v>28</v>
      </c>
      <c r="B599">
        <v>45</v>
      </c>
      <c r="C599">
        <v>2</v>
      </c>
      <c r="D599">
        <v>0</v>
      </c>
      <c r="E599">
        <v>1</v>
      </c>
      <c r="F599">
        <v>4.09</v>
      </c>
      <c r="G599">
        <v>1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0</v>
      </c>
      <c r="O599">
        <v>0</v>
      </c>
      <c r="P599">
        <v>0</v>
      </c>
      <c r="Q599">
        <v>33.9</v>
      </c>
    </row>
    <row r="600" spans="1:17" x14ac:dyDescent="0.25">
      <c r="A600">
        <v>37</v>
      </c>
      <c r="B600">
        <v>18</v>
      </c>
      <c r="C600">
        <v>2</v>
      </c>
      <c r="D600">
        <v>4</v>
      </c>
      <c r="E600">
        <v>2</v>
      </c>
      <c r="F600">
        <v>5.0359999999999996</v>
      </c>
      <c r="G600">
        <v>1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1</v>
      </c>
      <c r="O600">
        <v>0</v>
      </c>
      <c r="P600">
        <v>1</v>
      </c>
      <c r="Q600">
        <v>98.7</v>
      </c>
    </row>
    <row r="601" spans="1:17" x14ac:dyDescent="0.25">
      <c r="A601">
        <v>74</v>
      </c>
      <c r="B601">
        <v>20</v>
      </c>
      <c r="C601">
        <v>2</v>
      </c>
      <c r="D601">
        <v>3</v>
      </c>
      <c r="E601">
        <v>7</v>
      </c>
      <c r="F601">
        <v>4.04</v>
      </c>
      <c r="G601">
        <v>1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1</v>
      </c>
      <c r="P601">
        <v>1</v>
      </c>
      <c r="Q601">
        <v>59.933333330000004</v>
      </c>
    </row>
    <row r="602" spans="1:17" x14ac:dyDescent="0.25">
      <c r="A602">
        <v>55</v>
      </c>
      <c r="B602">
        <v>35</v>
      </c>
      <c r="C602">
        <v>2</v>
      </c>
      <c r="D602">
        <v>1</v>
      </c>
      <c r="E602">
        <v>7</v>
      </c>
      <c r="F602">
        <v>4.07</v>
      </c>
      <c r="G602">
        <v>1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0</v>
      </c>
      <c r="O602">
        <v>1</v>
      </c>
      <c r="P602">
        <v>1</v>
      </c>
      <c r="Q602">
        <v>132.19999999999999</v>
      </c>
    </row>
    <row r="603" spans="1:17" x14ac:dyDescent="0.25">
      <c r="A603">
        <v>49</v>
      </c>
      <c r="B603">
        <v>10</v>
      </c>
      <c r="C603">
        <v>1</v>
      </c>
      <c r="D603">
        <v>0</v>
      </c>
      <c r="E603">
        <v>6</v>
      </c>
      <c r="F603">
        <v>4.0199999999999996</v>
      </c>
      <c r="G603">
        <v>1</v>
      </c>
      <c r="H603">
        <v>0</v>
      </c>
      <c r="I603">
        <v>0</v>
      </c>
      <c r="J603">
        <v>0</v>
      </c>
      <c r="K603">
        <v>0</v>
      </c>
      <c r="L603">
        <v>1</v>
      </c>
      <c r="M603">
        <v>1</v>
      </c>
      <c r="N603">
        <v>0</v>
      </c>
      <c r="O603">
        <v>0</v>
      </c>
      <c r="P603">
        <v>1</v>
      </c>
      <c r="Q603">
        <v>34.1</v>
      </c>
    </row>
    <row r="604" spans="1:17" x14ac:dyDescent="0.25">
      <c r="A604">
        <v>55</v>
      </c>
      <c r="B604">
        <v>40</v>
      </c>
      <c r="C604">
        <v>2</v>
      </c>
      <c r="D604">
        <v>2</v>
      </c>
      <c r="E604">
        <v>7</v>
      </c>
      <c r="F604">
        <v>4.08</v>
      </c>
      <c r="G604">
        <v>1</v>
      </c>
      <c r="H604">
        <v>0</v>
      </c>
      <c r="I604">
        <v>0</v>
      </c>
      <c r="J604">
        <v>0</v>
      </c>
      <c r="K604">
        <v>0</v>
      </c>
      <c r="L604">
        <v>1</v>
      </c>
      <c r="M604">
        <v>1</v>
      </c>
      <c r="N604">
        <v>0</v>
      </c>
      <c r="O604">
        <v>1</v>
      </c>
      <c r="P604">
        <v>1</v>
      </c>
      <c r="Q604">
        <v>174.83333329999999</v>
      </c>
    </row>
    <row r="605" spans="1:17" x14ac:dyDescent="0.25">
      <c r="A605">
        <v>65</v>
      </c>
      <c r="B605">
        <v>20</v>
      </c>
      <c r="C605">
        <v>1</v>
      </c>
      <c r="D605">
        <v>0</v>
      </c>
      <c r="E605">
        <v>5</v>
      </c>
      <c r="F605">
        <v>2.04</v>
      </c>
      <c r="G605">
        <v>0</v>
      </c>
      <c r="H605">
        <v>0</v>
      </c>
      <c r="I605">
        <v>1</v>
      </c>
      <c r="J605">
        <v>0</v>
      </c>
      <c r="K605">
        <v>0</v>
      </c>
      <c r="L605">
        <v>0</v>
      </c>
      <c r="M605">
        <v>1</v>
      </c>
      <c r="N605">
        <v>0</v>
      </c>
      <c r="O605">
        <v>1</v>
      </c>
      <c r="P605">
        <v>1</v>
      </c>
      <c r="Q605">
        <v>96.833333330000002</v>
      </c>
    </row>
    <row r="606" spans="1:17" x14ac:dyDescent="0.25">
      <c r="A606">
        <v>70</v>
      </c>
      <c r="B606">
        <v>30</v>
      </c>
      <c r="C606">
        <v>2</v>
      </c>
      <c r="D606">
        <v>1</v>
      </c>
      <c r="E606">
        <v>5</v>
      </c>
      <c r="F606">
        <v>5.0599999999999996</v>
      </c>
      <c r="G606">
        <v>1</v>
      </c>
      <c r="H606">
        <v>0</v>
      </c>
      <c r="I606">
        <v>0</v>
      </c>
      <c r="J606">
        <v>0</v>
      </c>
      <c r="K606">
        <v>0</v>
      </c>
      <c r="L606">
        <v>1</v>
      </c>
      <c r="M606">
        <v>1</v>
      </c>
      <c r="N606">
        <v>0</v>
      </c>
      <c r="O606">
        <v>1</v>
      </c>
      <c r="P606">
        <v>1</v>
      </c>
      <c r="Q606">
        <v>189.03333330000001</v>
      </c>
    </row>
    <row r="607" spans="1:17" x14ac:dyDescent="0.25">
      <c r="A607">
        <v>58</v>
      </c>
      <c r="B607">
        <v>40</v>
      </c>
      <c r="C607">
        <v>2</v>
      </c>
      <c r="D607">
        <v>5</v>
      </c>
      <c r="E607">
        <v>10</v>
      </c>
      <c r="F607">
        <v>6.08</v>
      </c>
      <c r="G607">
        <v>0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1</v>
      </c>
      <c r="P607">
        <v>1</v>
      </c>
      <c r="Q607">
        <v>300.7</v>
      </c>
    </row>
    <row r="608" spans="1:17" x14ac:dyDescent="0.25">
      <c r="A608">
        <v>51</v>
      </c>
      <c r="B608">
        <v>50</v>
      </c>
      <c r="C608">
        <v>2</v>
      </c>
      <c r="D608">
        <v>0</v>
      </c>
      <c r="E608">
        <v>4</v>
      </c>
      <c r="F608">
        <v>3.1</v>
      </c>
      <c r="G608">
        <v>1</v>
      </c>
      <c r="H608">
        <v>0</v>
      </c>
      <c r="I608">
        <v>0</v>
      </c>
      <c r="J608">
        <v>0</v>
      </c>
      <c r="K608">
        <v>0</v>
      </c>
      <c r="L608">
        <v>1</v>
      </c>
      <c r="M608">
        <v>1</v>
      </c>
      <c r="N608">
        <v>0</v>
      </c>
      <c r="O608">
        <v>1</v>
      </c>
      <c r="P608">
        <v>0</v>
      </c>
      <c r="Q608">
        <v>177.9</v>
      </c>
    </row>
    <row r="609" spans="1:17" x14ac:dyDescent="0.25">
      <c r="A609">
        <v>61</v>
      </c>
      <c r="B609">
        <v>50</v>
      </c>
      <c r="C609">
        <v>2</v>
      </c>
      <c r="D609">
        <v>24</v>
      </c>
      <c r="E609">
        <v>10</v>
      </c>
      <c r="F609">
        <v>6.1</v>
      </c>
      <c r="G609">
        <v>1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1</v>
      </c>
      <c r="P609">
        <v>1</v>
      </c>
      <c r="Q609">
        <v>87.233333329999994</v>
      </c>
    </row>
    <row r="610" spans="1:17" x14ac:dyDescent="0.25">
      <c r="A610">
        <v>70</v>
      </c>
      <c r="B610">
        <v>29</v>
      </c>
      <c r="C610">
        <v>2</v>
      </c>
      <c r="D610">
        <v>2</v>
      </c>
      <c r="E610">
        <v>5</v>
      </c>
      <c r="F610">
        <v>5.0579999999999998</v>
      </c>
      <c r="G610">
        <v>1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1</v>
      </c>
      <c r="P610">
        <v>0</v>
      </c>
      <c r="Q610">
        <v>168.2666667</v>
      </c>
    </row>
    <row r="611" spans="1:17" x14ac:dyDescent="0.25">
      <c r="A611">
        <v>34</v>
      </c>
      <c r="B611">
        <v>20</v>
      </c>
      <c r="C611">
        <v>1</v>
      </c>
      <c r="D611">
        <v>0</v>
      </c>
      <c r="E611">
        <v>4</v>
      </c>
      <c r="F611">
        <v>4.04</v>
      </c>
      <c r="G611">
        <v>1</v>
      </c>
      <c r="H611">
        <v>0</v>
      </c>
      <c r="I611">
        <v>0</v>
      </c>
      <c r="J611">
        <v>0</v>
      </c>
      <c r="K611">
        <v>0</v>
      </c>
      <c r="L611">
        <v>1</v>
      </c>
      <c r="M611">
        <v>1</v>
      </c>
      <c r="N611">
        <v>0</v>
      </c>
      <c r="O611">
        <v>0</v>
      </c>
      <c r="P611">
        <v>1</v>
      </c>
      <c r="Q611">
        <v>307.93333330000002</v>
      </c>
    </row>
    <row r="612" spans="1:17" x14ac:dyDescent="0.25">
      <c r="A612">
        <v>74</v>
      </c>
      <c r="B612">
        <v>20</v>
      </c>
      <c r="C612">
        <v>1</v>
      </c>
      <c r="D612">
        <v>0</v>
      </c>
      <c r="E612">
        <v>8</v>
      </c>
      <c r="F612">
        <v>3.04</v>
      </c>
      <c r="G612">
        <v>1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1</v>
      </c>
      <c r="Q612">
        <v>173.6</v>
      </c>
    </row>
    <row r="613" spans="1:17" x14ac:dyDescent="0.25">
      <c r="A613">
        <v>35</v>
      </c>
      <c r="B613">
        <v>40</v>
      </c>
      <c r="C613">
        <v>2</v>
      </c>
      <c r="D613">
        <v>18</v>
      </c>
      <c r="E613">
        <v>5</v>
      </c>
      <c r="F613">
        <v>6.08</v>
      </c>
      <c r="G613">
        <v>1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1</v>
      </c>
      <c r="O613">
        <v>0</v>
      </c>
      <c r="P613">
        <v>1</v>
      </c>
      <c r="Q613">
        <v>33.700000000000003</v>
      </c>
    </row>
    <row r="614" spans="1:17" x14ac:dyDescent="0.25">
      <c r="A614">
        <v>61</v>
      </c>
      <c r="B614">
        <v>40</v>
      </c>
      <c r="C614">
        <v>2</v>
      </c>
      <c r="D614">
        <v>4</v>
      </c>
      <c r="E614">
        <v>9</v>
      </c>
      <c r="F614">
        <v>6.08</v>
      </c>
      <c r="G614">
        <v>1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1</v>
      </c>
      <c r="P614">
        <v>1</v>
      </c>
      <c r="Q614">
        <v>226.2</v>
      </c>
    </row>
    <row r="615" spans="1:17" x14ac:dyDescent="0.25">
      <c r="A615">
        <v>35</v>
      </c>
      <c r="B615">
        <v>15</v>
      </c>
      <c r="C615">
        <v>2</v>
      </c>
      <c r="D615">
        <v>3</v>
      </c>
      <c r="E615">
        <v>2</v>
      </c>
      <c r="F615">
        <v>5.03</v>
      </c>
      <c r="G615">
        <v>1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1</v>
      </c>
      <c r="O615">
        <v>0</v>
      </c>
      <c r="P615">
        <v>1</v>
      </c>
      <c r="Q615">
        <v>31.06666667</v>
      </c>
    </row>
    <row r="616" spans="1:17" x14ac:dyDescent="0.25">
      <c r="A616">
        <v>70</v>
      </c>
      <c r="B616">
        <v>20</v>
      </c>
      <c r="C616">
        <v>1</v>
      </c>
      <c r="D616">
        <v>0</v>
      </c>
      <c r="E616">
        <v>9</v>
      </c>
      <c r="F616">
        <v>4.04</v>
      </c>
      <c r="G616">
        <v>1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1</v>
      </c>
      <c r="Q616">
        <v>68.133333329999999</v>
      </c>
    </row>
    <row r="617" spans="1:17" x14ac:dyDescent="0.25">
      <c r="A617">
        <v>59</v>
      </c>
      <c r="B617">
        <v>30</v>
      </c>
      <c r="C617">
        <v>2</v>
      </c>
      <c r="D617">
        <v>1</v>
      </c>
      <c r="E617">
        <v>6</v>
      </c>
      <c r="F617">
        <v>5.0599999999999996</v>
      </c>
      <c r="G617">
        <v>1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1</v>
      </c>
      <c r="P617">
        <v>0</v>
      </c>
      <c r="Q617">
        <v>128.53333329999899</v>
      </c>
    </row>
    <row r="618" spans="1:17" x14ac:dyDescent="0.25">
      <c r="A618">
        <v>59</v>
      </c>
      <c r="B618">
        <v>8</v>
      </c>
      <c r="C618">
        <v>3</v>
      </c>
      <c r="D618">
        <v>0</v>
      </c>
      <c r="E618">
        <v>9</v>
      </c>
      <c r="F618">
        <v>4.016</v>
      </c>
      <c r="G618">
        <v>1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1</v>
      </c>
      <c r="O618">
        <v>0</v>
      </c>
      <c r="P618">
        <v>1</v>
      </c>
      <c r="Q618">
        <v>11.866666670000001</v>
      </c>
    </row>
    <row r="619" spans="1:17" x14ac:dyDescent="0.25">
      <c r="A619">
        <v>50</v>
      </c>
      <c r="B619">
        <v>20</v>
      </c>
      <c r="C619">
        <v>1</v>
      </c>
      <c r="D619">
        <v>0</v>
      </c>
      <c r="E619">
        <v>11</v>
      </c>
      <c r="F619">
        <v>4.04</v>
      </c>
      <c r="G619">
        <v>1</v>
      </c>
      <c r="H619">
        <v>0</v>
      </c>
      <c r="I619">
        <v>0</v>
      </c>
      <c r="J619">
        <v>0</v>
      </c>
      <c r="K619">
        <v>0</v>
      </c>
      <c r="L619">
        <v>1</v>
      </c>
      <c r="M619">
        <v>1</v>
      </c>
      <c r="N619">
        <v>0</v>
      </c>
      <c r="O619">
        <v>0</v>
      </c>
      <c r="P619">
        <v>1</v>
      </c>
      <c r="Q619">
        <v>267.26666669999997</v>
      </c>
    </row>
    <row r="620" spans="1:17" x14ac:dyDescent="0.25">
      <c r="A620">
        <v>74</v>
      </c>
      <c r="B620">
        <v>25</v>
      </c>
      <c r="C620">
        <v>2</v>
      </c>
      <c r="D620">
        <v>3</v>
      </c>
      <c r="E620">
        <v>6</v>
      </c>
      <c r="F620">
        <v>4.05</v>
      </c>
      <c r="G620">
        <v>1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1</v>
      </c>
      <c r="P620">
        <v>1</v>
      </c>
      <c r="Q620">
        <v>119.4666667</v>
      </c>
    </row>
    <row r="621" spans="1:17" x14ac:dyDescent="0.25">
      <c r="A621">
        <v>40</v>
      </c>
      <c r="B621">
        <v>16</v>
      </c>
      <c r="C621">
        <v>1</v>
      </c>
      <c r="D621">
        <v>0</v>
      </c>
      <c r="E621">
        <v>5</v>
      </c>
      <c r="F621">
        <v>3.032</v>
      </c>
      <c r="G621">
        <v>1</v>
      </c>
      <c r="H621">
        <v>0</v>
      </c>
      <c r="I621">
        <v>0</v>
      </c>
      <c r="J621">
        <v>0</v>
      </c>
      <c r="K621">
        <v>0</v>
      </c>
      <c r="L621">
        <v>1</v>
      </c>
      <c r="M621">
        <v>1</v>
      </c>
      <c r="N621">
        <v>0</v>
      </c>
      <c r="O621">
        <v>0</v>
      </c>
      <c r="P621">
        <v>0</v>
      </c>
      <c r="Q621">
        <v>291.16666670000001</v>
      </c>
    </row>
    <row r="622" spans="1:17" x14ac:dyDescent="0.25">
      <c r="A622">
        <v>59</v>
      </c>
      <c r="B622">
        <v>20</v>
      </c>
      <c r="C622">
        <v>2</v>
      </c>
      <c r="D622">
        <v>3</v>
      </c>
      <c r="E622">
        <v>8</v>
      </c>
      <c r="F622">
        <v>3.04</v>
      </c>
      <c r="G622">
        <v>1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1</v>
      </c>
      <c r="P622">
        <v>1</v>
      </c>
      <c r="Q622">
        <v>61.466666670000002</v>
      </c>
    </row>
    <row r="623" spans="1:17" x14ac:dyDescent="0.25">
      <c r="A623">
        <v>44</v>
      </c>
      <c r="B623">
        <v>10</v>
      </c>
      <c r="C623">
        <v>1</v>
      </c>
      <c r="D623">
        <v>0</v>
      </c>
      <c r="E623">
        <v>6</v>
      </c>
      <c r="F623">
        <v>4.0199999999999996</v>
      </c>
      <c r="G623">
        <v>1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1</v>
      </c>
      <c r="Q623">
        <v>83.366666670000001</v>
      </c>
    </row>
    <row r="624" spans="1:17" x14ac:dyDescent="0.25">
      <c r="A624">
        <v>44</v>
      </c>
      <c r="B624">
        <v>25</v>
      </c>
      <c r="C624">
        <v>2</v>
      </c>
      <c r="D624">
        <v>3</v>
      </c>
      <c r="E624">
        <v>4</v>
      </c>
      <c r="F624">
        <v>5.05</v>
      </c>
      <c r="G624">
        <v>1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1</v>
      </c>
      <c r="O624">
        <v>0</v>
      </c>
      <c r="P624">
        <v>1</v>
      </c>
      <c r="Q624">
        <v>241.6</v>
      </c>
    </row>
    <row r="625" spans="1:17" x14ac:dyDescent="0.25">
      <c r="A625">
        <v>56</v>
      </c>
      <c r="B625">
        <v>20</v>
      </c>
      <c r="C625">
        <v>1</v>
      </c>
      <c r="D625">
        <v>0</v>
      </c>
      <c r="E625">
        <v>13</v>
      </c>
      <c r="F625">
        <v>3.04</v>
      </c>
      <c r="G625">
        <v>1</v>
      </c>
      <c r="H625">
        <v>0</v>
      </c>
      <c r="I625">
        <v>0</v>
      </c>
      <c r="J625">
        <v>0</v>
      </c>
      <c r="K625">
        <v>0</v>
      </c>
      <c r="L625">
        <v>1</v>
      </c>
      <c r="M625">
        <v>1</v>
      </c>
      <c r="N625">
        <v>0</v>
      </c>
      <c r="O625">
        <v>0</v>
      </c>
      <c r="P625">
        <v>1</v>
      </c>
      <c r="Q625">
        <v>307.6333333</v>
      </c>
    </row>
    <row r="626" spans="1:17" x14ac:dyDescent="0.25">
      <c r="A626">
        <v>74</v>
      </c>
      <c r="B626">
        <v>25</v>
      </c>
      <c r="C626">
        <v>2</v>
      </c>
      <c r="D626">
        <v>1</v>
      </c>
      <c r="E626">
        <v>1</v>
      </c>
      <c r="F626">
        <v>5.05</v>
      </c>
      <c r="G626">
        <v>1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0</v>
      </c>
      <c r="O626">
        <v>1</v>
      </c>
      <c r="P626">
        <v>1</v>
      </c>
      <c r="Q626">
        <v>148.1</v>
      </c>
    </row>
    <row r="627" spans="1:17" x14ac:dyDescent="0.25">
      <c r="A627">
        <v>47</v>
      </c>
      <c r="B627">
        <v>15</v>
      </c>
      <c r="C627">
        <v>1</v>
      </c>
      <c r="D627">
        <v>0</v>
      </c>
      <c r="E627">
        <v>4</v>
      </c>
      <c r="F627">
        <v>3.03</v>
      </c>
      <c r="G627">
        <v>1</v>
      </c>
      <c r="H627">
        <v>0</v>
      </c>
      <c r="I627">
        <v>0</v>
      </c>
      <c r="J627">
        <v>0</v>
      </c>
      <c r="K627">
        <v>0</v>
      </c>
      <c r="L627">
        <v>1</v>
      </c>
      <c r="M627">
        <v>1</v>
      </c>
      <c r="N627">
        <v>0</v>
      </c>
      <c r="O627">
        <v>0</v>
      </c>
      <c r="P627">
        <v>0</v>
      </c>
      <c r="Q627">
        <v>296.8666667</v>
      </c>
    </row>
    <row r="628" spans="1:17" x14ac:dyDescent="0.25">
      <c r="A628">
        <v>50</v>
      </c>
      <c r="B628">
        <v>1</v>
      </c>
      <c r="C628">
        <v>2</v>
      </c>
      <c r="D628">
        <v>1</v>
      </c>
      <c r="E628">
        <v>2</v>
      </c>
      <c r="F628">
        <v>5.0019999999999998</v>
      </c>
      <c r="G628">
        <v>1</v>
      </c>
      <c r="H628">
        <v>0</v>
      </c>
      <c r="I628">
        <v>0</v>
      </c>
      <c r="J628">
        <v>0</v>
      </c>
      <c r="K628">
        <v>0</v>
      </c>
      <c r="L628">
        <v>1</v>
      </c>
      <c r="M628">
        <v>1</v>
      </c>
      <c r="N628">
        <v>1</v>
      </c>
      <c r="O628">
        <v>0</v>
      </c>
      <c r="P628">
        <v>1</v>
      </c>
      <c r="Q628">
        <v>322.83333329999999</v>
      </c>
    </row>
    <row r="629" spans="1:17" x14ac:dyDescent="0.25">
      <c r="A629">
        <v>51</v>
      </c>
      <c r="B629">
        <v>30</v>
      </c>
      <c r="C629">
        <v>2</v>
      </c>
      <c r="D629">
        <v>0</v>
      </c>
      <c r="E629">
        <v>7</v>
      </c>
      <c r="F629">
        <v>2.06</v>
      </c>
      <c r="G629">
        <v>0</v>
      </c>
      <c r="H629">
        <v>1</v>
      </c>
      <c r="I629">
        <v>0</v>
      </c>
      <c r="J629">
        <v>0</v>
      </c>
      <c r="K629">
        <v>0</v>
      </c>
      <c r="L629">
        <v>1</v>
      </c>
      <c r="M629">
        <v>1</v>
      </c>
      <c r="N629">
        <v>0</v>
      </c>
      <c r="O629">
        <v>1</v>
      </c>
      <c r="P629">
        <v>1</v>
      </c>
      <c r="Q629">
        <v>279.8</v>
      </c>
    </row>
    <row r="630" spans="1:17" x14ac:dyDescent="0.25">
      <c r="A630">
        <v>48</v>
      </c>
      <c r="B630">
        <v>15</v>
      </c>
      <c r="C630">
        <v>1</v>
      </c>
      <c r="D630">
        <v>0</v>
      </c>
      <c r="E630">
        <v>3</v>
      </c>
      <c r="F630">
        <v>3.03</v>
      </c>
      <c r="G630">
        <v>1</v>
      </c>
      <c r="H630">
        <v>0</v>
      </c>
      <c r="I630">
        <v>0</v>
      </c>
      <c r="J630">
        <v>0</v>
      </c>
      <c r="K630">
        <v>0</v>
      </c>
      <c r="L630">
        <v>1</v>
      </c>
      <c r="M630">
        <v>1</v>
      </c>
      <c r="N630">
        <v>0</v>
      </c>
      <c r="O630">
        <v>0</v>
      </c>
      <c r="P630">
        <v>1</v>
      </c>
      <c r="Q630">
        <v>140.2333333</v>
      </c>
    </row>
    <row r="631" spans="1:17" x14ac:dyDescent="0.25">
      <c r="A631">
        <v>67</v>
      </c>
      <c r="B631">
        <v>25</v>
      </c>
      <c r="C631">
        <v>2</v>
      </c>
      <c r="D631">
        <v>6</v>
      </c>
      <c r="E631">
        <v>3</v>
      </c>
      <c r="F631">
        <v>5.05</v>
      </c>
      <c r="G631">
        <v>1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1</v>
      </c>
      <c r="P631">
        <v>1</v>
      </c>
      <c r="Q631">
        <v>119.3666667</v>
      </c>
    </row>
    <row r="632" spans="1:17" x14ac:dyDescent="0.25">
      <c r="A632">
        <v>63</v>
      </c>
      <c r="B632">
        <v>40</v>
      </c>
      <c r="C632">
        <v>2</v>
      </c>
      <c r="D632">
        <v>3</v>
      </c>
      <c r="E632">
        <v>8</v>
      </c>
      <c r="F632">
        <v>5.08</v>
      </c>
      <c r="G632">
        <v>1</v>
      </c>
      <c r="H632">
        <v>0</v>
      </c>
      <c r="I632">
        <v>0</v>
      </c>
      <c r="J632">
        <v>0</v>
      </c>
      <c r="K632">
        <v>0</v>
      </c>
      <c r="L632">
        <v>1</v>
      </c>
      <c r="M632">
        <v>1</v>
      </c>
      <c r="N632">
        <v>0</v>
      </c>
      <c r="O632">
        <v>1</v>
      </c>
      <c r="P632">
        <v>1</v>
      </c>
      <c r="Q632">
        <v>191.16666669999901</v>
      </c>
    </row>
    <row r="633" spans="1:17" x14ac:dyDescent="0.25">
      <c r="A633">
        <v>39</v>
      </c>
      <c r="B633">
        <v>30</v>
      </c>
      <c r="C633">
        <v>2</v>
      </c>
      <c r="D633">
        <v>2</v>
      </c>
      <c r="E633">
        <v>8</v>
      </c>
      <c r="F633">
        <v>5.0599999999999996</v>
      </c>
      <c r="G633">
        <v>1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1</v>
      </c>
      <c r="O633">
        <v>0</v>
      </c>
      <c r="P633">
        <v>0</v>
      </c>
      <c r="Q633">
        <v>56.266666669999999</v>
      </c>
    </row>
    <row r="634" spans="1:17" x14ac:dyDescent="0.25">
      <c r="A634">
        <v>58</v>
      </c>
      <c r="B634">
        <v>20</v>
      </c>
      <c r="C634">
        <v>2</v>
      </c>
      <c r="D634">
        <v>2</v>
      </c>
      <c r="E634">
        <v>7</v>
      </c>
      <c r="F634">
        <v>5.04</v>
      </c>
      <c r="G634">
        <v>1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1</v>
      </c>
      <c r="P634">
        <v>1</v>
      </c>
      <c r="Q634">
        <v>122.8</v>
      </c>
    </row>
    <row r="635" spans="1:17" x14ac:dyDescent="0.25">
      <c r="A635">
        <v>42</v>
      </c>
      <c r="B635">
        <v>15</v>
      </c>
      <c r="C635">
        <v>1</v>
      </c>
      <c r="D635">
        <v>0</v>
      </c>
      <c r="E635">
        <v>10</v>
      </c>
      <c r="F635">
        <v>3.03</v>
      </c>
      <c r="G635">
        <v>1</v>
      </c>
      <c r="H635">
        <v>0</v>
      </c>
      <c r="I635">
        <v>0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0</v>
      </c>
      <c r="P635">
        <v>1</v>
      </c>
      <c r="Q635">
        <v>239.2333333</v>
      </c>
    </row>
    <row r="636" spans="1:17" x14ac:dyDescent="0.25">
      <c r="A636">
        <v>55</v>
      </c>
      <c r="B636">
        <v>15</v>
      </c>
      <c r="C636">
        <v>1</v>
      </c>
      <c r="D636">
        <v>0</v>
      </c>
      <c r="E636">
        <v>9</v>
      </c>
      <c r="F636">
        <v>3.03</v>
      </c>
      <c r="G636">
        <v>1</v>
      </c>
      <c r="H636">
        <v>0</v>
      </c>
      <c r="I636">
        <v>0</v>
      </c>
      <c r="J636">
        <v>0</v>
      </c>
      <c r="K636">
        <v>0</v>
      </c>
      <c r="L636">
        <v>1</v>
      </c>
      <c r="M636">
        <v>1</v>
      </c>
      <c r="N636">
        <v>0</v>
      </c>
      <c r="O636">
        <v>0</v>
      </c>
      <c r="P636">
        <v>1</v>
      </c>
      <c r="Q636">
        <v>121.733333299999</v>
      </c>
    </row>
    <row r="637" spans="1:17" x14ac:dyDescent="0.25">
      <c r="A637">
        <v>71</v>
      </c>
      <c r="B637">
        <v>20</v>
      </c>
      <c r="C637">
        <v>1</v>
      </c>
      <c r="D637">
        <v>0</v>
      </c>
      <c r="E637">
        <v>5</v>
      </c>
      <c r="F637">
        <v>3.04</v>
      </c>
      <c r="G637">
        <v>1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1</v>
      </c>
      <c r="Q637">
        <v>90.133333329999999</v>
      </c>
    </row>
    <row r="638" spans="1:17" x14ac:dyDescent="0.25">
      <c r="A638">
        <v>40</v>
      </c>
      <c r="B638">
        <v>12</v>
      </c>
      <c r="C638">
        <v>1</v>
      </c>
      <c r="D638">
        <v>0</v>
      </c>
      <c r="E638">
        <v>4</v>
      </c>
      <c r="F638">
        <v>3.0239999999999898</v>
      </c>
      <c r="G638">
        <v>0</v>
      </c>
      <c r="H638">
        <v>1</v>
      </c>
      <c r="I638">
        <v>0</v>
      </c>
      <c r="J638">
        <v>0</v>
      </c>
      <c r="K638">
        <v>0</v>
      </c>
      <c r="L638">
        <v>1</v>
      </c>
      <c r="M638">
        <v>1</v>
      </c>
      <c r="N638">
        <v>0</v>
      </c>
      <c r="O638">
        <v>0</v>
      </c>
      <c r="P638">
        <v>1</v>
      </c>
      <c r="Q638">
        <v>267.39999999999998</v>
      </c>
    </row>
    <row r="639" spans="1:17" x14ac:dyDescent="0.25">
      <c r="A639">
        <v>39</v>
      </c>
      <c r="B639">
        <v>53</v>
      </c>
      <c r="C639">
        <v>3</v>
      </c>
      <c r="D639">
        <v>6</v>
      </c>
      <c r="E639">
        <v>5</v>
      </c>
      <c r="F639">
        <v>6.1059999999999999</v>
      </c>
      <c r="G639">
        <v>1</v>
      </c>
      <c r="H639">
        <v>0</v>
      </c>
      <c r="I639">
        <v>0</v>
      </c>
      <c r="J639">
        <v>0</v>
      </c>
      <c r="K639">
        <v>0</v>
      </c>
      <c r="L639">
        <v>1</v>
      </c>
      <c r="M639">
        <v>1</v>
      </c>
      <c r="N639">
        <v>1</v>
      </c>
      <c r="O639">
        <v>0</v>
      </c>
      <c r="P639">
        <v>0</v>
      </c>
      <c r="Q639">
        <v>271.8666667</v>
      </c>
    </row>
    <row r="640" spans="1:17" x14ac:dyDescent="0.25">
      <c r="A640">
        <v>64</v>
      </c>
      <c r="B640">
        <v>15</v>
      </c>
      <c r="C640">
        <v>1</v>
      </c>
      <c r="D640">
        <v>0</v>
      </c>
      <c r="E640">
        <v>5</v>
      </c>
      <c r="F640">
        <v>4.03</v>
      </c>
      <c r="G640">
        <v>1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1</v>
      </c>
      <c r="Q640">
        <v>143</v>
      </c>
    </row>
    <row r="641" spans="1:17" x14ac:dyDescent="0.25">
      <c r="A641">
        <v>67</v>
      </c>
      <c r="B641">
        <v>25</v>
      </c>
      <c r="C641">
        <v>2</v>
      </c>
      <c r="D641">
        <v>2</v>
      </c>
      <c r="E641">
        <v>4</v>
      </c>
      <c r="F641">
        <v>5.05</v>
      </c>
      <c r="G641">
        <v>0</v>
      </c>
      <c r="H641">
        <v>1</v>
      </c>
      <c r="I641">
        <v>0</v>
      </c>
      <c r="J641">
        <v>0</v>
      </c>
      <c r="K641">
        <v>0</v>
      </c>
      <c r="L641">
        <v>1</v>
      </c>
      <c r="M641">
        <v>1</v>
      </c>
      <c r="N641">
        <v>0</v>
      </c>
      <c r="O641">
        <v>1</v>
      </c>
      <c r="P641">
        <v>1</v>
      </c>
      <c r="Q641">
        <v>318.2</v>
      </c>
    </row>
    <row r="642" spans="1:17" x14ac:dyDescent="0.25">
      <c r="A642">
        <v>66</v>
      </c>
      <c r="B642">
        <v>15</v>
      </c>
      <c r="C642">
        <v>2</v>
      </c>
      <c r="D642">
        <v>2</v>
      </c>
      <c r="E642">
        <v>6</v>
      </c>
      <c r="F642">
        <v>5.03</v>
      </c>
      <c r="G642">
        <v>0</v>
      </c>
      <c r="H642">
        <v>1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1</v>
      </c>
      <c r="P642">
        <v>1</v>
      </c>
      <c r="Q642">
        <v>109.6</v>
      </c>
    </row>
    <row r="643" spans="1:17" x14ac:dyDescent="0.25">
      <c r="A643">
        <v>71</v>
      </c>
      <c r="B643">
        <v>30</v>
      </c>
      <c r="C643">
        <v>2</v>
      </c>
      <c r="D643">
        <v>0</v>
      </c>
      <c r="E643">
        <v>3</v>
      </c>
      <c r="F643">
        <v>4.0599999999999996</v>
      </c>
      <c r="G643">
        <v>1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1</v>
      </c>
      <c r="Q643">
        <v>119</v>
      </c>
    </row>
    <row r="644" spans="1:17" x14ac:dyDescent="0.25">
      <c r="A644">
        <v>61</v>
      </c>
      <c r="B644">
        <v>25</v>
      </c>
      <c r="C644">
        <v>2</v>
      </c>
      <c r="D644">
        <v>0</v>
      </c>
      <c r="E644">
        <v>6</v>
      </c>
      <c r="F644">
        <v>4.05</v>
      </c>
      <c r="G644">
        <v>1</v>
      </c>
      <c r="H644">
        <v>0</v>
      </c>
      <c r="I644">
        <v>0</v>
      </c>
      <c r="J644">
        <v>0</v>
      </c>
      <c r="K644">
        <v>0</v>
      </c>
      <c r="L644">
        <v>1</v>
      </c>
      <c r="M644">
        <v>1</v>
      </c>
      <c r="N644">
        <v>0</v>
      </c>
      <c r="O644">
        <v>0</v>
      </c>
      <c r="P644">
        <v>1</v>
      </c>
      <c r="Q644">
        <v>200.6</v>
      </c>
    </row>
    <row r="645" spans="1:17" x14ac:dyDescent="0.25">
      <c r="A645">
        <v>66</v>
      </c>
      <c r="B645">
        <v>35</v>
      </c>
      <c r="C645">
        <v>2</v>
      </c>
      <c r="D645">
        <v>1</v>
      </c>
      <c r="E645">
        <v>6</v>
      </c>
      <c r="F645">
        <v>5.07</v>
      </c>
      <c r="G645">
        <v>1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1</v>
      </c>
      <c r="P645">
        <v>1</v>
      </c>
      <c r="Q645">
        <v>285.7</v>
      </c>
    </row>
    <row r="646" spans="1:17" x14ac:dyDescent="0.25">
      <c r="A646">
        <v>78</v>
      </c>
      <c r="B646">
        <v>15</v>
      </c>
      <c r="C646">
        <v>1</v>
      </c>
      <c r="D646">
        <v>0</v>
      </c>
      <c r="E646">
        <v>6</v>
      </c>
      <c r="F646">
        <v>4.03</v>
      </c>
      <c r="G646">
        <v>1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0</v>
      </c>
      <c r="O646">
        <v>0</v>
      </c>
      <c r="P646">
        <v>0</v>
      </c>
      <c r="Q646">
        <v>41.466666670000002</v>
      </c>
    </row>
    <row r="647" spans="1:17" x14ac:dyDescent="0.25">
      <c r="A647">
        <v>69</v>
      </c>
      <c r="B647">
        <v>35</v>
      </c>
      <c r="C647">
        <v>2</v>
      </c>
      <c r="D647">
        <v>0</v>
      </c>
      <c r="E647">
        <v>4</v>
      </c>
      <c r="F647">
        <v>3.07</v>
      </c>
      <c r="G647">
        <v>1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0</v>
      </c>
      <c r="O647">
        <v>0</v>
      </c>
      <c r="P647">
        <v>1</v>
      </c>
      <c r="Q647">
        <v>30.3</v>
      </c>
    </row>
    <row r="648" spans="1:17" x14ac:dyDescent="0.25">
      <c r="A648">
        <v>44</v>
      </c>
      <c r="B648">
        <v>31</v>
      </c>
      <c r="C648">
        <v>2</v>
      </c>
      <c r="D648">
        <v>0</v>
      </c>
      <c r="E648">
        <v>7</v>
      </c>
      <c r="F648">
        <v>4.0620000000000003</v>
      </c>
      <c r="G648">
        <v>1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0</v>
      </c>
      <c r="O648">
        <v>0</v>
      </c>
      <c r="P648">
        <v>0</v>
      </c>
      <c r="Q648">
        <v>48.133333329999999</v>
      </c>
    </row>
    <row r="649" spans="1:17" x14ac:dyDescent="0.25">
      <c r="A649">
        <v>37</v>
      </c>
      <c r="B649">
        <v>28</v>
      </c>
      <c r="C649">
        <v>2</v>
      </c>
      <c r="D649">
        <v>14</v>
      </c>
      <c r="E649">
        <v>9</v>
      </c>
      <c r="F649">
        <v>6.056</v>
      </c>
      <c r="G649">
        <v>1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1</v>
      </c>
      <c r="O649">
        <v>0</v>
      </c>
      <c r="P649">
        <v>1</v>
      </c>
      <c r="Q649">
        <v>39.866666670000001</v>
      </c>
    </row>
    <row r="650" spans="1:17" x14ac:dyDescent="0.25">
      <c r="A650">
        <v>81</v>
      </c>
      <c r="B650">
        <v>25</v>
      </c>
      <c r="C650">
        <v>2</v>
      </c>
      <c r="D650">
        <v>0</v>
      </c>
      <c r="E650">
        <v>9</v>
      </c>
      <c r="F650">
        <v>3.05</v>
      </c>
      <c r="G650">
        <v>1</v>
      </c>
      <c r="H650">
        <v>0</v>
      </c>
      <c r="I650">
        <v>0</v>
      </c>
      <c r="J650">
        <v>0</v>
      </c>
      <c r="K650">
        <v>0</v>
      </c>
      <c r="L650">
        <v>1</v>
      </c>
      <c r="M650">
        <v>1</v>
      </c>
      <c r="N650">
        <v>0</v>
      </c>
      <c r="O650">
        <v>0</v>
      </c>
      <c r="P650">
        <v>0</v>
      </c>
      <c r="Q650">
        <v>234.2333333</v>
      </c>
    </row>
    <row r="651" spans="1:17" x14ac:dyDescent="0.25">
      <c r="A651">
        <v>61</v>
      </c>
      <c r="B651">
        <v>40</v>
      </c>
      <c r="C651">
        <v>2</v>
      </c>
      <c r="D651">
        <v>0</v>
      </c>
      <c r="E651">
        <v>5</v>
      </c>
      <c r="F651">
        <v>4.08</v>
      </c>
      <c r="G651">
        <v>1</v>
      </c>
      <c r="H651">
        <v>0</v>
      </c>
      <c r="I651">
        <v>0</v>
      </c>
      <c r="J651">
        <v>0</v>
      </c>
      <c r="K651">
        <v>0</v>
      </c>
      <c r="L651">
        <v>1</v>
      </c>
      <c r="M651">
        <v>1</v>
      </c>
      <c r="N651">
        <v>0</v>
      </c>
      <c r="O651">
        <v>0</v>
      </c>
      <c r="P651">
        <v>1</v>
      </c>
      <c r="Q651">
        <v>239.33333329999999</v>
      </c>
    </row>
    <row r="652" spans="1:17" x14ac:dyDescent="0.25">
      <c r="A652">
        <v>54</v>
      </c>
      <c r="B652">
        <v>18</v>
      </c>
      <c r="C652">
        <v>1</v>
      </c>
      <c r="D652">
        <v>0</v>
      </c>
      <c r="E652">
        <v>3</v>
      </c>
      <c r="F652">
        <v>4.0359999999999996</v>
      </c>
      <c r="G652">
        <v>1</v>
      </c>
      <c r="H652">
        <v>0</v>
      </c>
      <c r="I652">
        <v>0</v>
      </c>
      <c r="J652">
        <v>0</v>
      </c>
      <c r="K652">
        <v>0</v>
      </c>
      <c r="L652">
        <v>1</v>
      </c>
      <c r="M652">
        <v>1</v>
      </c>
      <c r="N652">
        <v>0</v>
      </c>
      <c r="O652">
        <v>0</v>
      </c>
      <c r="P652">
        <v>0</v>
      </c>
      <c r="Q652">
        <v>260.2</v>
      </c>
    </row>
    <row r="653" spans="1:17" x14ac:dyDescent="0.25">
      <c r="A653">
        <v>57</v>
      </c>
      <c r="B653">
        <v>15</v>
      </c>
      <c r="C653">
        <v>2</v>
      </c>
      <c r="D653">
        <v>9</v>
      </c>
      <c r="E653">
        <v>5</v>
      </c>
      <c r="F653">
        <v>6.03</v>
      </c>
      <c r="G653">
        <v>1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1</v>
      </c>
      <c r="P653">
        <v>0</v>
      </c>
      <c r="Q653">
        <v>111.5666667</v>
      </c>
    </row>
    <row r="654" spans="1:17" x14ac:dyDescent="0.25">
      <c r="A654">
        <v>61</v>
      </c>
      <c r="B654">
        <v>20</v>
      </c>
      <c r="C654">
        <v>1</v>
      </c>
      <c r="D654">
        <v>0</v>
      </c>
      <c r="E654">
        <v>7</v>
      </c>
      <c r="F654">
        <v>3.04</v>
      </c>
      <c r="G654">
        <v>1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67.8</v>
      </c>
    </row>
    <row r="655" spans="1:17" x14ac:dyDescent="0.25">
      <c r="A655">
        <v>72</v>
      </c>
      <c r="B655">
        <v>30</v>
      </c>
      <c r="C655">
        <v>2</v>
      </c>
      <c r="D655">
        <v>0</v>
      </c>
      <c r="E655">
        <v>2</v>
      </c>
      <c r="F655">
        <v>4.0599999999999996</v>
      </c>
      <c r="G655">
        <v>1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1</v>
      </c>
      <c r="Q655">
        <v>34.700000000000003</v>
      </c>
    </row>
    <row r="656" spans="1:17" x14ac:dyDescent="0.25">
      <c r="A656">
        <v>63</v>
      </c>
      <c r="B656">
        <v>20</v>
      </c>
      <c r="C656">
        <v>3</v>
      </c>
      <c r="D656">
        <v>2</v>
      </c>
      <c r="E656">
        <v>1</v>
      </c>
      <c r="F656">
        <v>4.04</v>
      </c>
      <c r="G656">
        <v>1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1</v>
      </c>
      <c r="P656">
        <v>0</v>
      </c>
      <c r="Q656">
        <v>87</v>
      </c>
    </row>
    <row r="657" spans="1:17" x14ac:dyDescent="0.25">
      <c r="A657">
        <v>75</v>
      </c>
      <c r="B657">
        <v>40</v>
      </c>
      <c r="C657">
        <v>2</v>
      </c>
      <c r="D657">
        <v>3</v>
      </c>
      <c r="E657">
        <v>9</v>
      </c>
      <c r="F657">
        <v>4.08</v>
      </c>
      <c r="G657">
        <v>1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1</v>
      </c>
      <c r="P657">
        <v>0</v>
      </c>
      <c r="Q657">
        <v>81.066666670000004</v>
      </c>
    </row>
    <row r="658" spans="1:17" x14ac:dyDescent="0.25">
      <c r="A658">
        <v>59</v>
      </c>
      <c r="B658">
        <v>18</v>
      </c>
      <c r="C658">
        <v>1</v>
      </c>
      <c r="D658">
        <v>0</v>
      </c>
      <c r="E658">
        <v>7</v>
      </c>
      <c r="F658">
        <v>4.0359999999999996</v>
      </c>
      <c r="G658">
        <v>1</v>
      </c>
      <c r="H658">
        <v>0</v>
      </c>
      <c r="I658">
        <v>0</v>
      </c>
      <c r="J658">
        <v>0</v>
      </c>
      <c r="K658">
        <v>0</v>
      </c>
      <c r="L658">
        <v>1</v>
      </c>
      <c r="M658">
        <v>1</v>
      </c>
      <c r="N658">
        <v>0</v>
      </c>
      <c r="O658">
        <v>0</v>
      </c>
      <c r="P658">
        <v>1</v>
      </c>
      <c r="Q658">
        <v>263.03333329999998</v>
      </c>
    </row>
    <row r="659" spans="1:17" x14ac:dyDescent="0.25">
      <c r="A659">
        <v>60</v>
      </c>
      <c r="B659">
        <v>17</v>
      </c>
      <c r="C659">
        <v>1</v>
      </c>
      <c r="D659">
        <v>0</v>
      </c>
      <c r="E659">
        <v>8</v>
      </c>
      <c r="F659">
        <v>1.034</v>
      </c>
      <c r="G659">
        <v>1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251.8</v>
      </c>
    </row>
    <row r="660" spans="1:17" x14ac:dyDescent="0.25">
      <c r="A660">
        <v>53</v>
      </c>
      <c r="B660">
        <v>35</v>
      </c>
      <c r="C660">
        <v>2</v>
      </c>
      <c r="D660">
        <v>3</v>
      </c>
      <c r="E660">
        <v>2</v>
      </c>
      <c r="F660">
        <v>5.07</v>
      </c>
      <c r="G660">
        <v>1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1</v>
      </c>
      <c r="P660">
        <v>1</v>
      </c>
      <c r="Q660">
        <v>48.433333330000004</v>
      </c>
    </row>
    <row r="661" spans="1:17" x14ac:dyDescent="0.25">
      <c r="A661">
        <v>71</v>
      </c>
      <c r="B661">
        <v>45</v>
      </c>
      <c r="C661">
        <v>3</v>
      </c>
      <c r="D661">
        <v>9</v>
      </c>
      <c r="E661">
        <v>7</v>
      </c>
      <c r="F661">
        <v>5.09</v>
      </c>
      <c r="G661">
        <v>1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1</v>
      </c>
      <c r="P661">
        <v>1</v>
      </c>
      <c r="Q661">
        <v>85.3</v>
      </c>
    </row>
    <row r="662" spans="1:17" x14ac:dyDescent="0.25">
      <c r="A662">
        <v>49</v>
      </c>
      <c r="B662">
        <v>10</v>
      </c>
      <c r="C662">
        <v>1</v>
      </c>
      <c r="D662">
        <v>0</v>
      </c>
      <c r="E662">
        <v>16</v>
      </c>
      <c r="F662">
        <v>4.0199999999999996</v>
      </c>
      <c r="G662">
        <v>1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282.56666669999998</v>
      </c>
    </row>
    <row r="663" spans="1:17" x14ac:dyDescent="0.25">
      <c r="A663">
        <v>76</v>
      </c>
      <c r="B663">
        <v>20</v>
      </c>
      <c r="C663">
        <v>1</v>
      </c>
      <c r="D663">
        <v>0</v>
      </c>
      <c r="E663">
        <v>5</v>
      </c>
      <c r="F663">
        <v>4.04</v>
      </c>
      <c r="G663">
        <v>1</v>
      </c>
      <c r="H663">
        <v>0</v>
      </c>
      <c r="I663">
        <v>0</v>
      </c>
      <c r="J663">
        <v>0</v>
      </c>
      <c r="K663">
        <v>0</v>
      </c>
      <c r="L663">
        <v>1</v>
      </c>
      <c r="M663">
        <v>1</v>
      </c>
      <c r="N663">
        <v>0</v>
      </c>
      <c r="O663">
        <v>0</v>
      </c>
      <c r="P663">
        <v>1</v>
      </c>
      <c r="Q663">
        <v>198.3</v>
      </c>
    </row>
    <row r="664" spans="1:17" x14ac:dyDescent="0.25">
      <c r="A664">
        <v>59</v>
      </c>
      <c r="B664">
        <v>20</v>
      </c>
      <c r="C664">
        <v>2</v>
      </c>
      <c r="D664">
        <v>1</v>
      </c>
      <c r="E664">
        <v>6</v>
      </c>
      <c r="F664">
        <v>5.04</v>
      </c>
      <c r="G664">
        <v>0</v>
      </c>
      <c r="H664">
        <v>0</v>
      </c>
      <c r="I664">
        <v>1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1</v>
      </c>
      <c r="P664">
        <v>0</v>
      </c>
      <c r="Q664">
        <v>170.66666669999901</v>
      </c>
    </row>
    <row r="665" spans="1:17" x14ac:dyDescent="0.25">
      <c r="A665">
        <v>47</v>
      </c>
      <c r="B665">
        <v>25</v>
      </c>
      <c r="C665">
        <v>2</v>
      </c>
      <c r="D665">
        <v>0</v>
      </c>
      <c r="E665">
        <v>8</v>
      </c>
      <c r="F665">
        <v>4.05</v>
      </c>
      <c r="G665">
        <v>1</v>
      </c>
      <c r="H665">
        <v>0</v>
      </c>
      <c r="I665">
        <v>0</v>
      </c>
      <c r="J665">
        <v>0</v>
      </c>
      <c r="K665">
        <v>0</v>
      </c>
      <c r="L665">
        <v>1</v>
      </c>
      <c r="M665">
        <v>1</v>
      </c>
      <c r="N665">
        <v>0</v>
      </c>
      <c r="O665">
        <v>0</v>
      </c>
      <c r="P665">
        <v>1</v>
      </c>
      <c r="Q665">
        <v>127.533333299999</v>
      </c>
    </row>
    <row r="666" spans="1:17" x14ac:dyDescent="0.25">
      <c r="A666">
        <v>52</v>
      </c>
      <c r="B666">
        <v>35</v>
      </c>
      <c r="C666">
        <v>2</v>
      </c>
      <c r="D666">
        <v>0</v>
      </c>
      <c r="E666">
        <v>6</v>
      </c>
      <c r="F666">
        <v>4.07</v>
      </c>
      <c r="G666">
        <v>1</v>
      </c>
      <c r="H666">
        <v>0</v>
      </c>
      <c r="I666">
        <v>0</v>
      </c>
      <c r="J666">
        <v>0</v>
      </c>
      <c r="K666">
        <v>0</v>
      </c>
      <c r="L666">
        <v>1</v>
      </c>
      <c r="M666">
        <v>1</v>
      </c>
      <c r="N666">
        <v>0</v>
      </c>
      <c r="O666">
        <v>1</v>
      </c>
      <c r="P666">
        <v>0</v>
      </c>
      <c r="Q666">
        <v>300.8666667</v>
      </c>
    </row>
    <row r="667" spans="1:17" x14ac:dyDescent="0.25">
      <c r="A667">
        <v>67</v>
      </c>
      <c r="B667">
        <v>49</v>
      </c>
      <c r="C667">
        <v>2</v>
      </c>
      <c r="D667">
        <v>0</v>
      </c>
      <c r="E667">
        <v>3</v>
      </c>
      <c r="F667">
        <v>4.0979999999999999</v>
      </c>
      <c r="G667">
        <v>0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64</v>
      </c>
    </row>
    <row r="668" spans="1:17" x14ac:dyDescent="0.25">
      <c r="A668">
        <v>59</v>
      </c>
      <c r="B668">
        <v>27</v>
      </c>
      <c r="C668">
        <v>2</v>
      </c>
      <c r="D668">
        <v>0</v>
      </c>
      <c r="E668">
        <v>12</v>
      </c>
      <c r="F668">
        <v>4.0539999999999896</v>
      </c>
      <c r="G668">
        <v>1</v>
      </c>
      <c r="H668">
        <v>0</v>
      </c>
      <c r="I668">
        <v>0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0</v>
      </c>
      <c r="P668">
        <v>1</v>
      </c>
      <c r="Q668">
        <v>221.2</v>
      </c>
    </row>
    <row r="669" spans="1:17" x14ac:dyDescent="0.25">
      <c r="A669">
        <v>49</v>
      </c>
      <c r="B669">
        <v>20</v>
      </c>
      <c r="C669">
        <v>1</v>
      </c>
      <c r="D669">
        <v>0</v>
      </c>
      <c r="E669">
        <v>4</v>
      </c>
      <c r="F669">
        <v>3.04</v>
      </c>
      <c r="G669">
        <v>1</v>
      </c>
      <c r="H669">
        <v>0</v>
      </c>
      <c r="I669">
        <v>0</v>
      </c>
      <c r="J669">
        <v>0</v>
      </c>
      <c r="K669">
        <v>0</v>
      </c>
      <c r="L669">
        <v>1</v>
      </c>
      <c r="M669">
        <v>1</v>
      </c>
      <c r="N669">
        <v>0</v>
      </c>
      <c r="O669">
        <v>0</v>
      </c>
      <c r="P669">
        <v>1</v>
      </c>
      <c r="Q669">
        <v>146.7666667</v>
      </c>
    </row>
    <row r="670" spans="1:17" x14ac:dyDescent="0.25">
      <c r="A670">
        <v>77</v>
      </c>
      <c r="B670">
        <v>19</v>
      </c>
      <c r="C670">
        <v>1</v>
      </c>
      <c r="D670">
        <v>0</v>
      </c>
      <c r="E670">
        <v>12</v>
      </c>
      <c r="F670">
        <v>4.0380000000000003</v>
      </c>
      <c r="G670">
        <v>1</v>
      </c>
      <c r="H670">
        <v>0</v>
      </c>
      <c r="I670">
        <v>0</v>
      </c>
      <c r="J670">
        <v>0</v>
      </c>
      <c r="K670">
        <v>0</v>
      </c>
      <c r="L670">
        <v>1</v>
      </c>
      <c r="M670">
        <v>1</v>
      </c>
      <c r="N670">
        <v>0</v>
      </c>
      <c r="O670">
        <v>1</v>
      </c>
      <c r="P670">
        <v>0</v>
      </c>
      <c r="Q670">
        <v>57.666666669999998</v>
      </c>
    </row>
    <row r="671" spans="1:17" x14ac:dyDescent="0.25">
      <c r="A671">
        <v>56</v>
      </c>
      <c r="B671">
        <v>99</v>
      </c>
      <c r="C671">
        <v>3</v>
      </c>
      <c r="D671">
        <v>11</v>
      </c>
      <c r="E671">
        <v>4</v>
      </c>
      <c r="F671">
        <v>6.1979999999999897</v>
      </c>
      <c r="G671">
        <v>1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1</v>
      </c>
      <c r="O671">
        <v>0</v>
      </c>
      <c r="P671">
        <v>1</v>
      </c>
      <c r="Q671">
        <v>31.466666669999999</v>
      </c>
    </row>
    <row r="672" spans="1:17" x14ac:dyDescent="0.25">
      <c r="A672">
        <v>67</v>
      </c>
      <c r="B672">
        <v>45</v>
      </c>
      <c r="C672">
        <v>2</v>
      </c>
      <c r="D672">
        <v>1</v>
      </c>
      <c r="E672">
        <v>7</v>
      </c>
      <c r="F672">
        <v>5.09</v>
      </c>
      <c r="G672">
        <v>1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1</v>
      </c>
      <c r="O672">
        <v>0</v>
      </c>
      <c r="P672">
        <v>0</v>
      </c>
      <c r="Q672">
        <v>35.233333330000001</v>
      </c>
    </row>
    <row r="673" spans="1:17" x14ac:dyDescent="0.25">
      <c r="A673">
        <v>52</v>
      </c>
      <c r="B673">
        <v>28</v>
      </c>
      <c r="C673">
        <v>2</v>
      </c>
      <c r="D673">
        <v>0</v>
      </c>
      <c r="E673">
        <v>7</v>
      </c>
      <c r="F673">
        <v>4.056</v>
      </c>
      <c r="G673">
        <v>0</v>
      </c>
      <c r="H673">
        <v>0</v>
      </c>
      <c r="I673">
        <v>1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1</v>
      </c>
      <c r="Q673">
        <v>76.133333329999999</v>
      </c>
    </row>
    <row r="674" spans="1:17" x14ac:dyDescent="0.25">
      <c r="A674">
        <v>43</v>
      </c>
      <c r="B674">
        <v>25</v>
      </c>
      <c r="C674">
        <v>2</v>
      </c>
      <c r="D674">
        <v>0</v>
      </c>
      <c r="E674">
        <v>3</v>
      </c>
      <c r="F674">
        <v>4.05</v>
      </c>
      <c r="G674">
        <v>1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42.9</v>
      </c>
    </row>
    <row r="675" spans="1:17" x14ac:dyDescent="0.25">
      <c r="A675">
        <v>44</v>
      </c>
      <c r="B675">
        <v>99</v>
      </c>
      <c r="C675">
        <v>2</v>
      </c>
      <c r="D675">
        <v>0</v>
      </c>
      <c r="E675">
        <v>4</v>
      </c>
      <c r="F675">
        <v>2.198</v>
      </c>
      <c r="G675">
        <v>0</v>
      </c>
      <c r="H675">
        <v>0</v>
      </c>
      <c r="I675">
        <v>1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1</v>
      </c>
      <c r="P675">
        <v>1</v>
      </c>
      <c r="Q675">
        <v>198.33333329999999</v>
      </c>
    </row>
    <row r="676" spans="1:17" x14ac:dyDescent="0.25">
      <c r="A676">
        <v>66</v>
      </c>
      <c r="B676">
        <v>60</v>
      </c>
      <c r="C676">
        <v>3</v>
      </c>
      <c r="D676">
        <v>5</v>
      </c>
      <c r="E676">
        <v>7</v>
      </c>
      <c r="F676">
        <v>4.12</v>
      </c>
      <c r="G676">
        <v>0</v>
      </c>
      <c r="H676">
        <v>0</v>
      </c>
      <c r="I676">
        <v>1</v>
      </c>
      <c r="J676">
        <v>0</v>
      </c>
      <c r="K676">
        <v>0</v>
      </c>
      <c r="L676">
        <v>0</v>
      </c>
      <c r="M676">
        <v>1</v>
      </c>
      <c r="N676">
        <v>0</v>
      </c>
      <c r="O676">
        <v>1</v>
      </c>
      <c r="P676">
        <v>1</v>
      </c>
      <c r="Q676">
        <v>23.733333330000001</v>
      </c>
    </row>
    <row r="677" spans="1:17" x14ac:dyDescent="0.25">
      <c r="A677">
        <v>64</v>
      </c>
      <c r="B677">
        <v>25</v>
      </c>
      <c r="C677">
        <v>2</v>
      </c>
      <c r="D677">
        <v>0</v>
      </c>
      <c r="E677">
        <v>6</v>
      </c>
      <c r="F677">
        <v>3.05</v>
      </c>
      <c r="G677">
        <v>1</v>
      </c>
      <c r="H677">
        <v>0</v>
      </c>
      <c r="I677">
        <v>0</v>
      </c>
      <c r="J677">
        <v>0</v>
      </c>
      <c r="K677">
        <v>0</v>
      </c>
      <c r="L677">
        <v>1</v>
      </c>
      <c r="M677">
        <v>1</v>
      </c>
      <c r="N677">
        <v>0</v>
      </c>
      <c r="O677">
        <v>0</v>
      </c>
      <c r="P677">
        <v>0</v>
      </c>
      <c r="Q677">
        <v>86.1</v>
      </c>
    </row>
    <row r="678" spans="1:17" x14ac:dyDescent="0.25">
      <c r="A678">
        <v>64</v>
      </c>
      <c r="B678">
        <v>15</v>
      </c>
      <c r="C678">
        <v>1</v>
      </c>
      <c r="D678">
        <v>0</v>
      </c>
      <c r="E678">
        <v>4</v>
      </c>
      <c r="F678">
        <v>4.03</v>
      </c>
      <c r="G678">
        <v>1</v>
      </c>
      <c r="H678">
        <v>0</v>
      </c>
      <c r="I678">
        <v>0</v>
      </c>
      <c r="J678">
        <v>0</v>
      </c>
      <c r="K678">
        <v>0</v>
      </c>
      <c r="L678">
        <v>1</v>
      </c>
      <c r="M678">
        <v>1</v>
      </c>
      <c r="N678">
        <v>0</v>
      </c>
      <c r="O678">
        <v>0</v>
      </c>
      <c r="P678">
        <v>1</v>
      </c>
      <c r="Q678">
        <v>211.96666669999999</v>
      </c>
    </row>
    <row r="679" spans="1:17" x14ac:dyDescent="0.25">
      <c r="A679">
        <v>60</v>
      </c>
      <c r="B679">
        <v>20</v>
      </c>
      <c r="C679">
        <v>1</v>
      </c>
      <c r="D679">
        <v>0</v>
      </c>
      <c r="E679">
        <v>6</v>
      </c>
      <c r="F679">
        <v>4.04</v>
      </c>
      <c r="G679">
        <v>1</v>
      </c>
      <c r="H679">
        <v>0</v>
      </c>
      <c r="I679">
        <v>0</v>
      </c>
      <c r="J679">
        <v>0</v>
      </c>
      <c r="K679">
        <v>0</v>
      </c>
      <c r="L679">
        <v>1</v>
      </c>
      <c r="M679">
        <v>1</v>
      </c>
      <c r="N679">
        <v>0</v>
      </c>
      <c r="O679">
        <v>0</v>
      </c>
      <c r="P679">
        <v>1</v>
      </c>
      <c r="Q679">
        <v>146.06666669999899</v>
      </c>
    </row>
    <row r="680" spans="1:17" x14ac:dyDescent="0.25">
      <c r="A680">
        <v>65</v>
      </c>
      <c r="B680">
        <v>26</v>
      </c>
      <c r="C680">
        <v>2</v>
      </c>
      <c r="D680">
        <v>1</v>
      </c>
      <c r="E680">
        <v>7</v>
      </c>
      <c r="F680">
        <v>5.0519999999999996</v>
      </c>
      <c r="G680">
        <v>1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0</v>
      </c>
      <c r="O680">
        <v>1</v>
      </c>
      <c r="P680">
        <v>0</v>
      </c>
      <c r="Q680">
        <v>98.766666670000006</v>
      </c>
    </row>
    <row r="681" spans="1:17" x14ac:dyDescent="0.25">
      <c r="A681">
        <v>26</v>
      </c>
      <c r="B681">
        <v>45</v>
      </c>
      <c r="C681">
        <v>2</v>
      </c>
      <c r="D681">
        <v>3</v>
      </c>
      <c r="E681">
        <v>3</v>
      </c>
      <c r="F681">
        <v>5.09</v>
      </c>
      <c r="G681">
        <v>1</v>
      </c>
      <c r="H681">
        <v>0</v>
      </c>
      <c r="I681">
        <v>0</v>
      </c>
      <c r="J681">
        <v>0</v>
      </c>
      <c r="K681">
        <v>0</v>
      </c>
      <c r="L681">
        <v>1</v>
      </c>
      <c r="M681">
        <v>1</v>
      </c>
      <c r="N681">
        <v>1</v>
      </c>
      <c r="O681">
        <v>0</v>
      </c>
      <c r="P681">
        <v>1</v>
      </c>
      <c r="Q681">
        <v>149.8666667</v>
      </c>
    </row>
    <row r="682" spans="1:17" x14ac:dyDescent="0.25">
      <c r="A682">
        <v>56</v>
      </c>
      <c r="B682">
        <v>18</v>
      </c>
      <c r="C682">
        <v>2</v>
      </c>
      <c r="D682">
        <v>4</v>
      </c>
      <c r="E682">
        <v>6</v>
      </c>
      <c r="F682">
        <v>6.0359999999999996</v>
      </c>
      <c r="G682">
        <v>1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1</v>
      </c>
      <c r="O682">
        <v>1</v>
      </c>
      <c r="P682">
        <v>1</v>
      </c>
      <c r="Q682">
        <v>19.733333330000001</v>
      </c>
    </row>
    <row r="683" spans="1:17" x14ac:dyDescent="0.25">
      <c r="A683">
        <v>54</v>
      </c>
      <c r="B683">
        <v>40</v>
      </c>
      <c r="C683">
        <v>2</v>
      </c>
      <c r="D683">
        <v>0</v>
      </c>
      <c r="E683">
        <v>3</v>
      </c>
      <c r="F683">
        <v>3.08</v>
      </c>
      <c r="G683">
        <v>1</v>
      </c>
      <c r="H683">
        <v>0</v>
      </c>
      <c r="I683">
        <v>0</v>
      </c>
      <c r="J683">
        <v>0</v>
      </c>
      <c r="K683">
        <v>0</v>
      </c>
      <c r="L683">
        <v>1</v>
      </c>
      <c r="M683">
        <v>1</v>
      </c>
      <c r="N683">
        <v>0</v>
      </c>
      <c r="O683">
        <v>0</v>
      </c>
      <c r="P683">
        <v>0</v>
      </c>
      <c r="Q683">
        <v>297.8</v>
      </c>
    </row>
    <row r="684" spans="1:17" x14ac:dyDescent="0.25">
      <c r="A684">
        <v>52</v>
      </c>
      <c r="B684">
        <v>46</v>
      </c>
      <c r="C684">
        <v>2</v>
      </c>
      <c r="D684">
        <v>1</v>
      </c>
      <c r="E684">
        <v>6</v>
      </c>
      <c r="F684">
        <v>5.0919999999999996</v>
      </c>
      <c r="G684">
        <v>1</v>
      </c>
      <c r="H684">
        <v>0</v>
      </c>
      <c r="I684">
        <v>0</v>
      </c>
      <c r="J684">
        <v>0</v>
      </c>
      <c r="K684">
        <v>0</v>
      </c>
      <c r="L684">
        <v>1</v>
      </c>
      <c r="M684">
        <v>1</v>
      </c>
      <c r="N684">
        <v>0</v>
      </c>
      <c r="O684">
        <v>1</v>
      </c>
      <c r="P684">
        <v>0</v>
      </c>
      <c r="Q684">
        <v>122.2</v>
      </c>
    </row>
    <row r="685" spans="1:17" x14ac:dyDescent="0.25">
      <c r="A685">
        <v>42</v>
      </c>
      <c r="B685">
        <v>20</v>
      </c>
      <c r="C685">
        <v>1</v>
      </c>
      <c r="D685">
        <v>0</v>
      </c>
      <c r="E685">
        <v>5</v>
      </c>
      <c r="F685">
        <v>3.04</v>
      </c>
      <c r="G685">
        <v>0</v>
      </c>
      <c r="H685">
        <v>1</v>
      </c>
      <c r="I685">
        <v>0</v>
      </c>
      <c r="J685">
        <v>0</v>
      </c>
      <c r="K685">
        <v>0</v>
      </c>
      <c r="L685">
        <v>1</v>
      </c>
      <c r="M685">
        <v>1</v>
      </c>
      <c r="N685">
        <v>0</v>
      </c>
      <c r="O685">
        <v>0</v>
      </c>
      <c r="P685">
        <v>0</v>
      </c>
      <c r="Q685">
        <v>176.06666669999899</v>
      </c>
    </row>
    <row r="686" spans="1:17" x14ac:dyDescent="0.25">
      <c r="A686">
        <v>53</v>
      </c>
      <c r="B686">
        <v>20</v>
      </c>
      <c r="C686">
        <v>2</v>
      </c>
      <c r="D686">
        <v>1</v>
      </c>
      <c r="E686">
        <v>6</v>
      </c>
      <c r="F686">
        <v>4.04</v>
      </c>
      <c r="G686">
        <v>0</v>
      </c>
      <c r="H686">
        <v>0</v>
      </c>
      <c r="I686">
        <v>1</v>
      </c>
      <c r="J686">
        <v>0</v>
      </c>
      <c r="K686">
        <v>0</v>
      </c>
      <c r="L686">
        <v>0</v>
      </c>
      <c r="M686">
        <v>1</v>
      </c>
      <c r="N686">
        <v>0</v>
      </c>
      <c r="O686">
        <v>1</v>
      </c>
      <c r="P686">
        <v>0</v>
      </c>
      <c r="Q686">
        <v>56.5</v>
      </c>
    </row>
    <row r="687" spans="1:17" x14ac:dyDescent="0.25">
      <c r="A687">
        <v>52</v>
      </c>
      <c r="B687">
        <v>15</v>
      </c>
      <c r="C687">
        <v>1</v>
      </c>
      <c r="D687">
        <v>0</v>
      </c>
      <c r="E687">
        <v>7</v>
      </c>
      <c r="F687">
        <v>3.03</v>
      </c>
      <c r="G687">
        <v>0</v>
      </c>
      <c r="H687">
        <v>1</v>
      </c>
      <c r="I687">
        <v>0</v>
      </c>
      <c r="J687">
        <v>0</v>
      </c>
      <c r="K687">
        <v>0</v>
      </c>
      <c r="L687">
        <v>1</v>
      </c>
      <c r="M687">
        <v>1</v>
      </c>
      <c r="N687">
        <v>0</v>
      </c>
      <c r="O687">
        <v>0</v>
      </c>
      <c r="P687">
        <v>0</v>
      </c>
      <c r="Q687">
        <v>230.16666669999901</v>
      </c>
    </row>
    <row r="688" spans="1:17" x14ac:dyDescent="0.25">
      <c r="A688">
        <v>64</v>
      </c>
      <c r="B688">
        <v>16</v>
      </c>
      <c r="C688">
        <v>2</v>
      </c>
      <c r="D688">
        <v>2</v>
      </c>
      <c r="E688">
        <v>7</v>
      </c>
      <c r="F688">
        <v>5.032</v>
      </c>
      <c r="G688">
        <v>1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0</v>
      </c>
      <c r="O688">
        <v>1</v>
      </c>
      <c r="P688">
        <v>1</v>
      </c>
      <c r="Q688">
        <v>153</v>
      </c>
    </row>
    <row r="689" spans="1:17" x14ac:dyDescent="0.25">
      <c r="A689">
        <v>50</v>
      </c>
      <c r="B689">
        <v>37</v>
      </c>
      <c r="C689">
        <v>2</v>
      </c>
      <c r="D689">
        <v>1</v>
      </c>
      <c r="E689">
        <v>15</v>
      </c>
      <c r="F689">
        <v>5.0739999999999998</v>
      </c>
      <c r="G689">
        <v>1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1</v>
      </c>
      <c r="O689">
        <v>0</v>
      </c>
      <c r="P689">
        <v>1</v>
      </c>
      <c r="Q689">
        <v>42.666666669999998</v>
      </c>
    </row>
    <row r="690" spans="1:17" x14ac:dyDescent="0.25">
      <c r="A690">
        <v>73</v>
      </c>
      <c r="B690">
        <v>25</v>
      </c>
      <c r="C690">
        <v>2</v>
      </c>
      <c r="D690">
        <v>1</v>
      </c>
      <c r="E690">
        <v>6</v>
      </c>
      <c r="F690">
        <v>4.05</v>
      </c>
      <c r="G690">
        <v>1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1</v>
      </c>
      <c r="P690">
        <v>0</v>
      </c>
      <c r="Q690">
        <v>37.733333330000001</v>
      </c>
    </row>
    <row r="691" spans="1:17" x14ac:dyDescent="0.25">
      <c r="A691">
        <v>63</v>
      </c>
      <c r="B691">
        <v>60</v>
      </c>
      <c r="C691">
        <v>3</v>
      </c>
      <c r="D691">
        <v>1</v>
      </c>
      <c r="E691">
        <v>3</v>
      </c>
      <c r="F691">
        <v>4.12</v>
      </c>
      <c r="G691">
        <v>1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0</v>
      </c>
      <c r="O691">
        <v>1</v>
      </c>
      <c r="P691">
        <v>0</v>
      </c>
      <c r="Q691">
        <v>125.2666667</v>
      </c>
    </row>
    <row r="692" spans="1:17" x14ac:dyDescent="0.25">
      <c r="A692">
        <v>67</v>
      </c>
      <c r="B692">
        <v>15</v>
      </c>
      <c r="C692">
        <v>1</v>
      </c>
      <c r="D692">
        <v>0</v>
      </c>
      <c r="E692">
        <v>6</v>
      </c>
      <c r="F692">
        <v>3.03</v>
      </c>
      <c r="G692">
        <v>1</v>
      </c>
      <c r="H692">
        <v>0</v>
      </c>
      <c r="I692">
        <v>0</v>
      </c>
      <c r="J692">
        <v>0</v>
      </c>
      <c r="K692">
        <v>0</v>
      </c>
      <c r="L692">
        <v>1</v>
      </c>
      <c r="M692">
        <v>1</v>
      </c>
      <c r="N692">
        <v>0</v>
      </c>
      <c r="O692">
        <v>0</v>
      </c>
      <c r="P692">
        <v>1</v>
      </c>
      <c r="Q692">
        <v>252.1</v>
      </c>
    </row>
    <row r="693" spans="1:17" x14ac:dyDescent="0.25">
      <c r="A693">
        <v>44</v>
      </c>
      <c r="B693">
        <v>30</v>
      </c>
      <c r="C693">
        <v>2</v>
      </c>
      <c r="D693">
        <v>1</v>
      </c>
      <c r="E693">
        <v>4</v>
      </c>
      <c r="F693">
        <v>5.0599999999999996</v>
      </c>
      <c r="G693">
        <v>1</v>
      </c>
      <c r="H693">
        <v>0</v>
      </c>
      <c r="I693">
        <v>0</v>
      </c>
      <c r="J693">
        <v>0</v>
      </c>
      <c r="K693">
        <v>0</v>
      </c>
      <c r="L693">
        <v>1</v>
      </c>
      <c r="M693">
        <v>1</v>
      </c>
      <c r="N693">
        <v>1</v>
      </c>
      <c r="O693">
        <v>0</v>
      </c>
      <c r="P693">
        <v>1</v>
      </c>
      <c r="Q693">
        <v>102.1</v>
      </c>
    </row>
    <row r="694" spans="1:17" x14ac:dyDescent="0.25">
      <c r="A694">
        <v>57</v>
      </c>
      <c r="B694">
        <v>50</v>
      </c>
      <c r="C694">
        <v>2</v>
      </c>
      <c r="D694">
        <v>0</v>
      </c>
      <c r="E694">
        <v>4</v>
      </c>
      <c r="F694">
        <v>4.0999999999999996</v>
      </c>
      <c r="G694">
        <v>0</v>
      </c>
      <c r="H694">
        <v>0</v>
      </c>
      <c r="I694">
        <v>1</v>
      </c>
      <c r="J694">
        <v>0</v>
      </c>
      <c r="K694">
        <v>0</v>
      </c>
      <c r="L694">
        <v>1</v>
      </c>
      <c r="M694">
        <v>1</v>
      </c>
      <c r="N694">
        <v>0</v>
      </c>
      <c r="O694">
        <v>1</v>
      </c>
      <c r="P694">
        <v>1</v>
      </c>
      <c r="Q694">
        <v>245.5</v>
      </c>
    </row>
    <row r="695" spans="1:17" x14ac:dyDescent="0.25">
      <c r="A695">
        <v>74</v>
      </c>
      <c r="B695">
        <v>40</v>
      </c>
      <c r="C695">
        <v>2</v>
      </c>
      <c r="D695">
        <v>1</v>
      </c>
      <c r="E695">
        <v>4</v>
      </c>
      <c r="F695">
        <v>5.08</v>
      </c>
      <c r="G695">
        <v>1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1</v>
      </c>
      <c r="P695">
        <v>0</v>
      </c>
      <c r="Q695">
        <v>47.133333329999999</v>
      </c>
    </row>
    <row r="696" spans="1:17" x14ac:dyDescent="0.25">
      <c r="A696">
        <v>65</v>
      </c>
      <c r="B696">
        <v>35</v>
      </c>
      <c r="C696">
        <v>2</v>
      </c>
      <c r="D696">
        <v>0</v>
      </c>
      <c r="E696">
        <v>11</v>
      </c>
      <c r="F696">
        <v>4.07</v>
      </c>
      <c r="G696">
        <v>1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0</v>
      </c>
      <c r="O696">
        <v>0</v>
      </c>
      <c r="P696">
        <v>1</v>
      </c>
      <c r="Q696">
        <v>21.7</v>
      </c>
    </row>
    <row r="697" spans="1:17" x14ac:dyDescent="0.25">
      <c r="A697">
        <v>47</v>
      </c>
      <c r="B697">
        <v>30</v>
      </c>
      <c r="C697">
        <v>2</v>
      </c>
      <c r="D697">
        <v>0</v>
      </c>
      <c r="E697">
        <v>3</v>
      </c>
      <c r="F697">
        <v>3.06</v>
      </c>
      <c r="G697">
        <v>1</v>
      </c>
      <c r="H697">
        <v>0</v>
      </c>
      <c r="I697">
        <v>0</v>
      </c>
      <c r="J697">
        <v>0</v>
      </c>
      <c r="K697">
        <v>0</v>
      </c>
      <c r="L697">
        <v>1</v>
      </c>
      <c r="M697">
        <v>1</v>
      </c>
      <c r="N697">
        <v>0</v>
      </c>
      <c r="O697">
        <v>0</v>
      </c>
      <c r="P697">
        <v>1</v>
      </c>
      <c r="Q697">
        <v>297.23333330000003</v>
      </c>
    </row>
    <row r="698" spans="1:17" x14ac:dyDescent="0.25">
      <c r="A698">
        <v>53</v>
      </c>
      <c r="B698">
        <v>13</v>
      </c>
      <c r="C698">
        <v>2</v>
      </c>
      <c r="D698">
        <v>2</v>
      </c>
      <c r="E698">
        <v>7</v>
      </c>
      <c r="F698">
        <v>4.0259999999999998</v>
      </c>
      <c r="G698">
        <v>1</v>
      </c>
      <c r="H698">
        <v>0</v>
      </c>
      <c r="I698">
        <v>0</v>
      </c>
      <c r="J698">
        <v>0</v>
      </c>
      <c r="K698">
        <v>0</v>
      </c>
      <c r="L698">
        <v>1</v>
      </c>
      <c r="M698">
        <v>1</v>
      </c>
      <c r="N698">
        <v>0</v>
      </c>
      <c r="O698">
        <v>1</v>
      </c>
      <c r="P698">
        <v>1</v>
      </c>
      <c r="Q698">
        <v>101.5666667</v>
      </c>
    </row>
    <row r="699" spans="1:17" x14ac:dyDescent="0.25">
      <c r="A699">
        <v>75</v>
      </c>
      <c r="B699">
        <v>28</v>
      </c>
      <c r="C699">
        <v>2</v>
      </c>
      <c r="D699">
        <v>0</v>
      </c>
      <c r="E699">
        <v>5</v>
      </c>
      <c r="F699">
        <v>3.056</v>
      </c>
      <c r="G699">
        <v>1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1</v>
      </c>
      <c r="Q699">
        <v>121.66666669999999</v>
      </c>
    </row>
    <row r="700" spans="1:17" x14ac:dyDescent="0.25">
      <c r="A700">
        <v>43</v>
      </c>
      <c r="B700">
        <v>28</v>
      </c>
      <c r="C700">
        <v>2</v>
      </c>
      <c r="D700">
        <v>0</v>
      </c>
      <c r="E700">
        <v>6</v>
      </c>
      <c r="F700">
        <v>3.056</v>
      </c>
      <c r="G700">
        <v>1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70.466666669999995</v>
      </c>
    </row>
    <row r="701" spans="1:17" x14ac:dyDescent="0.25">
      <c r="A701">
        <v>49</v>
      </c>
      <c r="B701">
        <v>20</v>
      </c>
      <c r="C701">
        <v>2</v>
      </c>
      <c r="D701">
        <v>2</v>
      </c>
      <c r="E701">
        <v>6</v>
      </c>
      <c r="F701">
        <v>5.04</v>
      </c>
      <c r="G701">
        <v>1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1</v>
      </c>
      <c r="O701">
        <v>0</v>
      </c>
      <c r="P701">
        <v>1</v>
      </c>
      <c r="Q701">
        <v>40.633333329999999</v>
      </c>
    </row>
    <row r="702" spans="1:17" x14ac:dyDescent="0.25">
      <c r="A702">
        <v>53</v>
      </c>
      <c r="B702">
        <v>25</v>
      </c>
      <c r="C702">
        <v>2</v>
      </c>
      <c r="D702">
        <v>0</v>
      </c>
      <c r="E702">
        <v>4</v>
      </c>
      <c r="F702">
        <v>3.05</v>
      </c>
      <c r="G702">
        <v>1</v>
      </c>
      <c r="H702">
        <v>0</v>
      </c>
      <c r="I702">
        <v>0</v>
      </c>
      <c r="J702">
        <v>0</v>
      </c>
      <c r="K702">
        <v>0</v>
      </c>
      <c r="L702">
        <v>1</v>
      </c>
      <c r="M702">
        <v>1</v>
      </c>
      <c r="N702">
        <v>0</v>
      </c>
      <c r="O702">
        <v>0</v>
      </c>
      <c r="P702">
        <v>0</v>
      </c>
      <c r="Q702">
        <v>128.2666667</v>
      </c>
    </row>
    <row r="703" spans="1:17" x14ac:dyDescent="0.25">
      <c r="A703">
        <v>44</v>
      </c>
      <c r="B703">
        <v>25</v>
      </c>
      <c r="C703">
        <v>2</v>
      </c>
      <c r="D703">
        <v>0</v>
      </c>
      <c r="E703">
        <v>5</v>
      </c>
      <c r="F703">
        <v>3.05</v>
      </c>
      <c r="G703">
        <v>0</v>
      </c>
      <c r="H703">
        <v>0</v>
      </c>
      <c r="I703">
        <v>1</v>
      </c>
      <c r="J703">
        <v>0</v>
      </c>
      <c r="K703">
        <v>0</v>
      </c>
      <c r="L703">
        <v>1</v>
      </c>
      <c r="M703">
        <v>1</v>
      </c>
      <c r="N703">
        <v>0</v>
      </c>
      <c r="O703">
        <v>0</v>
      </c>
      <c r="P703">
        <v>1</v>
      </c>
      <c r="Q703">
        <v>257.16666670000001</v>
      </c>
    </row>
    <row r="704" spans="1:17" x14ac:dyDescent="0.25">
      <c r="A704">
        <v>61</v>
      </c>
      <c r="B704">
        <v>25</v>
      </c>
      <c r="C704">
        <v>2</v>
      </c>
      <c r="D704">
        <v>0</v>
      </c>
      <c r="E704">
        <v>8</v>
      </c>
      <c r="F704">
        <v>4.05</v>
      </c>
      <c r="G704">
        <v>1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110.93333329999901</v>
      </c>
    </row>
    <row r="705" spans="1:17" x14ac:dyDescent="0.25">
      <c r="A705">
        <v>71</v>
      </c>
      <c r="B705">
        <v>40</v>
      </c>
      <c r="C705">
        <v>2</v>
      </c>
      <c r="D705">
        <v>0</v>
      </c>
      <c r="E705">
        <v>7</v>
      </c>
      <c r="F705">
        <v>3.08</v>
      </c>
      <c r="G705">
        <v>1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43.9</v>
      </c>
    </row>
    <row r="706" spans="1:17" x14ac:dyDescent="0.25">
      <c r="A706">
        <v>45</v>
      </c>
      <c r="B706">
        <v>35</v>
      </c>
      <c r="C706">
        <v>2</v>
      </c>
      <c r="D706">
        <v>0</v>
      </c>
      <c r="E706">
        <v>6</v>
      </c>
      <c r="F706">
        <v>4.07</v>
      </c>
      <c r="G706">
        <v>1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1</v>
      </c>
      <c r="P706">
        <v>0</v>
      </c>
      <c r="Q706">
        <v>129.80000000000001</v>
      </c>
    </row>
    <row r="707" spans="1:17" x14ac:dyDescent="0.25">
      <c r="A707">
        <v>43</v>
      </c>
      <c r="B707">
        <v>14</v>
      </c>
      <c r="C707">
        <v>1</v>
      </c>
      <c r="D707">
        <v>0</v>
      </c>
      <c r="E707">
        <v>4</v>
      </c>
      <c r="F707">
        <v>4.0279999999999996</v>
      </c>
      <c r="G707">
        <v>1</v>
      </c>
      <c r="H707">
        <v>0</v>
      </c>
      <c r="I707">
        <v>0</v>
      </c>
      <c r="J707">
        <v>0</v>
      </c>
      <c r="K707">
        <v>0</v>
      </c>
      <c r="L707">
        <v>1</v>
      </c>
      <c r="M707">
        <v>1</v>
      </c>
      <c r="N707">
        <v>0</v>
      </c>
      <c r="O707">
        <v>0</v>
      </c>
      <c r="P707">
        <v>0</v>
      </c>
      <c r="Q707">
        <v>286.06666669999998</v>
      </c>
    </row>
    <row r="708" spans="1:17" x14ac:dyDescent="0.25">
      <c r="A708">
        <v>39</v>
      </c>
      <c r="B708">
        <v>50</v>
      </c>
      <c r="C708">
        <v>2</v>
      </c>
      <c r="D708">
        <v>0</v>
      </c>
      <c r="E708">
        <v>3</v>
      </c>
      <c r="F708">
        <v>3.1</v>
      </c>
      <c r="G708">
        <v>1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73.466666669999995</v>
      </c>
    </row>
    <row r="709" spans="1:17" x14ac:dyDescent="0.25">
      <c r="A709">
        <v>76</v>
      </c>
      <c r="B709">
        <v>10</v>
      </c>
      <c r="C709">
        <v>1</v>
      </c>
      <c r="D709">
        <v>0</v>
      </c>
      <c r="E709">
        <v>4</v>
      </c>
      <c r="F709">
        <v>3.02</v>
      </c>
      <c r="G709">
        <v>0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91.633333329999999</v>
      </c>
    </row>
    <row r="710" spans="1:17" x14ac:dyDescent="0.25">
      <c r="A710">
        <v>78</v>
      </c>
      <c r="B710">
        <v>80</v>
      </c>
      <c r="C710">
        <v>3</v>
      </c>
      <c r="D710">
        <v>2</v>
      </c>
      <c r="E710">
        <v>8</v>
      </c>
      <c r="F710">
        <v>5.16</v>
      </c>
      <c r="G710">
        <v>0</v>
      </c>
      <c r="H710">
        <v>0</v>
      </c>
      <c r="I710">
        <v>1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1</v>
      </c>
      <c r="P710">
        <v>1</v>
      </c>
      <c r="Q710">
        <v>42.5</v>
      </c>
    </row>
    <row r="711" spans="1:17" x14ac:dyDescent="0.25">
      <c r="A711">
        <v>45</v>
      </c>
      <c r="B711">
        <v>11</v>
      </c>
      <c r="C711">
        <v>1</v>
      </c>
      <c r="D711">
        <v>0</v>
      </c>
      <c r="E711">
        <v>4</v>
      </c>
      <c r="F711">
        <v>2.0219999999999998</v>
      </c>
      <c r="G711">
        <v>1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1</v>
      </c>
      <c r="Q711">
        <v>141.7333333</v>
      </c>
    </row>
    <row r="712" spans="1:17" x14ac:dyDescent="0.25">
      <c r="A712">
        <v>54</v>
      </c>
      <c r="B712">
        <v>30</v>
      </c>
      <c r="C712">
        <v>2</v>
      </c>
      <c r="D712">
        <v>0</v>
      </c>
      <c r="E712">
        <v>12</v>
      </c>
      <c r="F712">
        <v>2.06</v>
      </c>
      <c r="G712">
        <v>1</v>
      </c>
      <c r="H712">
        <v>0</v>
      </c>
      <c r="I712">
        <v>0</v>
      </c>
      <c r="J712">
        <v>0</v>
      </c>
      <c r="K712">
        <v>0</v>
      </c>
      <c r="L712">
        <v>1</v>
      </c>
      <c r="M712">
        <v>1</v>
      </c>
      <c r="N712">
        <v>0</v>
      </c>
      <c r="O712">
        <v>1</v>
      </c>
      <c r="P712">
        <v>0</v>
      </c>
      <c r="Q712">
        <v>265.1333333</v>
      </c>
    </row>
    <row r="713" spans="1:17" x14ac:dyDescent="0.25">
      <c r="A713">
        <v>86</v>
      </c>
      <c r="B713">
        <v>20</v>
      </c>
      <c r="C713">
        <v>2</v>
      </c>
      <c r="D713">
        <v>19</v>
      </c>
      <c r="E713">
        <v>2</v>
      </c>
      <c r="F713">
        <v>3.04</v>
      </c>
      <c r="G713">
        <v>1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1</v>
      </c>
      <c r="P713">
        <v>0</v>
      </c>
      <c r="Q713">
        <v>25.466666669999999</v>
      </c>
    </row>
    <row r="714" spans="1:17" x14ac:dyDescent="0.25">
      <c r="A714">
        <v>63</v>
      </c>
      <c r="B714">
        <v>25</v>
      </c>
      <c r="C714">
        <v>2</v>
      </c>
      <c r="D714">
        <v>0</v>
      </c>
      <c r="E714">
        <v>6</v>
      </c>
      <c r="F714">
        <v>3.05</v>
      </c>
      <c r="G714">
        <v>0</v>
      </c>
      <c r="H714">
        <v>0</v>
      </c>
      <c r="I714">
        <v>1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1</v>
      </c>
      <c r="P714">
        <v>1</v>
      </c>
      <c r="Q714">
        <v>101.6333333</v>
      </c>
    </row>
    <row r="715" spans="1:17" x14ac:dyDescent="0.25">
      <c r="A715">
        <v>81</v>
      </c>
      <c r="B715">
        <v>30</v>
      </c>
      <c r="C715">
        <v>2</v>
      </c>
      <c r="D715">
        <v>0</v>
      </c>
      <c r="E715">
        <v>5</v>
      </c>
      <c r="F715">
        <v>4.0599999999999996</v>
      </c>
      <c r="G715">
        <v>1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1</v>
      </c>
      <c r="P715">
        <v>0</v>
      </c>
      <c r="Q715">
        <v>45.333333330000002</v>
      </c>
    </row>
    <row r="716" spans="1:17" x14ac:dyDescent="0.25">
      <c r="A716">
        <v>73</v>
      </c>
      <c r="B716">
        <v>25</v>
      </c>
      <c r="C716">
        <v>2</v>
      </c>
      <c r="D716">
        <v>1</v>
      </c>
      <c r="E716">
        <v>7</v>
      </c>
      <c r="F716">
        <v>4.05</v>
      </c>
      <c r="G716">
        <v>1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1</v>
      </c>
      <c r="P716">
        <v>0</v>
      </c>
      <c r="Q716">
        <v>90.266666670000006</v>
      </c>
    </row>
    <row r="717" spans="1:17" x14ac:dyDescent="0.25">
      <c r="A717">
        <v>62</v>
      </c>
      <c r="B717">
        <v>16</v>
      </c>
      <c r="C717">
        <v>1</v>
      </c>
      <c r="D717">
        <v>0</v>
      </c>
      <c r="E717">
        <v>6</v>
      </c>
      <c r="F717">
        <v>3.032</v>
      </c>
      <c r="G717">
        <v>0</v>
      </c>
      <c r="H717">
        <v>0</v>
      </c>
      <c r="I717">
        <v>1</v>
      </c>
      <c r="J717">
        <v>0</v>
      </c>
      <c r="K717">
        <v>0</v>
      </c>
      <c r="L717">
        <v>1</v>
      </c>
      <c r="M717">
        <v>1</v>
      </c>
      <c r="N717">
        <v>0</v>
      </c>
      <c r="O717">
        <v>0</v>
      </c>
      <c r="P717">
        <v>0</v>
      </c>
      <c r="Q717">
        <v>265.93333330000002</v>
      </c>
    </row>
    <row r="718" spans="1:17" x14ac:dyDescent="0.25">
      <c r="A718">
        <v>44</v>
      </c>
      <c r="B718">
        <v>10</v>
      </c>
      <c r="C718">
        <v>1</v>
      </c>
      <c r="D718">
        <v>0</v>
      </c>
      <c r="E718">
        <v>6</v>
      </c>
      <c r="F718">
        <v>3.02</v>
      </c>
      <c r="G718">
        <v>0</v>
      </c>
      <c r="H718">
        <v>0</v>
      </c>
      <c r="I718">
        <v>1</v>
      </c>
      <c r="J718">
        <v>0</v>
      </c>
      <c r="K718">
        <v>0</v>
      </c>
      <c r="L718">
        <v>1</v>
      </c>
      <c r="M718">
        <v>1</v>
      </c>
      <c r="N718">
        <v>0</v>
      </c>
      <c r="O718">
        <v>0</v>
      </c>
      <c r="P718">
        <v>1</v>
      </c>
      <c r="Q718">
        <v>234.6</v>
      </c>
    </row>
    <row r="719" spans="1:17" x14ac:dyDescent="0.25">
      <c r="A719">
        <v>64</v>
      </c>
      <c r="B719">
        <v>23</v>
      </c>
      <c r="C719">
        <v>2</v>
      </c>
      <c r="D719">
        <v>0</v>
      </c>
      <c r="E719">
        <v>10</v>
      </c>
      <c r="F719">
        <v>4.0460000000000003</v>
      </c>
      <c r="G719">
        <v>1</v>
      </c>
      <c r="H719">
        <v>0</v>
      </c>
      <c r="I719">
        <v>0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1</v>
      </c>
      <c r="P719">
        <v>1</v>
      </c>
      <c r="Q719">
        <v>187.3</v>
      </c>
    </row>
    <row r="720" spans="1:17" x14ac:dyDescent="0.25">
      <c r="A720">
        <v>50</v>
      </c>
      <c r="B720">
        <v>35</v>
      </c>
      <c r="C720">
        <v>2</v>
      </c>
      <c r="D720">
        <v>0</v>
      </c>
      <c r="E720">
        <v>8</v>
      </c>
      <c r="F720">
        <v>4.07</v>
      </c>
      <c r="G720">
        <v>1</v>
      </c>
      <c r="H720">
        <v>0</v>
      </c>
      <c r="I720">
        <v>0</v>
      </c>
      <c r="J720">
        <v>0</v>
      </c>
      <c r="K720">
        <v>0</v>
      </c>
      <c r="L720">
        <v>1</v>
      </c>
      <c r="M720">
        <v>1</v>
      </c>
      <c r="N720">
        <v>0</v>
      </c>
      <c r="O720">
        <v>0</v>
      </c>
      <c r="P720">
        <v>0</v>
      </c>
      <c r="Q720">
        <v>229.9</v>
      </c>
    </row>
    <row r="721" spans="1:17" x14ac:dyDescent="0.25">
      <c r="A721">
        <v>43</v>
      </c>
      <c r="B721">
        <v>20</v>
      </c>
      <c r="C721">
        <v>1</v>
      </c>
      <c r="D721">
        <v>0</v>
      </c>
      <c r="E721">
        <v>2</v>
      </c>
      <c r="F721">
        <v>2.04</v>
      </c>
      <c r="G721">
        <v>1</v>
      </c>
      <c r="H721">
        <v>0</v>
      </c>
      <c r="I721">
        <v>0</v>
      </c>
      <c r="J721">
        <v>0</v>
      </c>
      <c r="K721">
        <v>0</v>
      </c>
      <c r="L721">
        <v>1</v>
      </c>
      <c r="M721">
        <v>1</v>
      </c>
      <c r="N721">
        <v>0</v>
      </c>
      <c r="O721">
        <v>0</v>
      </c>
      <c r="P721">
        <v>0</v>
      </c>
      <c r="Q721">
        <v>224.3</v>
      </c>
    </row>
    <row r="722" spans="1:17" x14ac:dyDescent="0.25">
      <c r="A722">
        <v>47</v>
      </c>
      <c r="B722">
        <v>25</v>
      </c>
      <c r="C722">
        <v>2</v>
      </c>
      <c r="D722">
        <v>0</v>
      </c>
      <c r="E722">
        <v>5</v>
      </c>
      <c r="F722">
        <v>3.05</v>
      </c>
      <c r="G722">
        <v>1</v>
      </c>
      <c r="H722">
        <v>0</v>
      </c>
      <c r="I722">
        <v>0</v>
      </c>
      <c r="J722">
        <v>0</v>
      </c>
      <c r="K722">
        <v>0</v>
      </c>
      <c r="L722">
        <v>1</v>
      </c>
      <c r="M722">
        <v>1</v>
      </c>
      <c r="N722">
        <v>0</v>
      </c>
      <c r="O722">
        <v>0</v>
      </c>
      <c r="P722">
        <v>0</v>
      </c>
      <c r="Q722">
        <v>221.9</v>
      </c>
    </row>
    <row r="723" spans="1:17" x14ac:dyDescent="0.25">
      <c r="A723">
        <v>67</v>
      </c>
      <c r="B723">
        <v>30</v>
      </c>
      <c r="C723">
        <v>2</v>
      </c>
      <c r="D723">
        <v>2</v>
      </c>
      <c r="E723">
        <v>6</v>
      </c>
      <c r="F723">
        <v>4.0599999999999996</v>
      </c>
      <c r="G723">
        <v>1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1</v>
      </c>
      <c r="P723">
        <v>0</v>
      </c>
      <c r="Q723">
        <v>29.3</v>
      </c>
    </row>
    <row r="724" spans="1:17" x14ac:dyDescent="0.25">
      <c r="A724">
        <v>57</v>
      </c>
      <c r="B724">
        <v>25</v>
      </c>
      <c r="C724">
        <v>2</v>
      </c>
      <c r="D724">
        <v>0</v>
      </c>
      <c r="E724">
        <v>4</v>
      </c>
      <c r="F724">
        <v>2.0499999999999998</v>
      </c>
      <c r="G724">
        <v>1</v>
      </c>
      <c r="H724">
        <v>0</v>
      </c>
      <c r="I724">
        <v>0</v>
      </c>
      <c r="J724">
        <v>0</v>
      </c>
      <c r="K724">
        <v>0</v>
      </c>
      <c r="L724">
        <v>1</v>
      </c>
      <c r="M724">
        <v>1</v>
      </c>
      <c r="N724">
        <v>0</v>
      </c>
      <c r="O724">
        <v>0</v>
      </c>
      <c r="P724">
        <v>1</v>
      </c>
      <c r="Q724">
        <v>229.06666669999899</v>
      </c>
    </row>
    <row r="725" spans="1:17" x14ac:dyDescent="0.25">
      <c r="A725">
        <v>74</v>
      </c>
      <c r="B725">
        <v>40</v>
      </c>
      <c r="C725">
        <v>2</v>
      </c>
      <c r="D725">
        <v>0</v>
      </c>
      <c r="E725">
        <v>8</v>
      </c>
      <c r="F725">
        <v>3.08</v>
      </c>
      <c r="G725">
        <v>1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39.799999999999997</v>
      </c>
    </row>
    <row r="726" spans="1:17" x14ac:dyDescent="0.25">
      <c r="A726">
        <v>64</v>
      </c>
      <c r="B726">
        <v>30</v>
      </c>
      <c r="C726">
        <v>3</v>
      </c>
      <c r="D726">
        <v>14</v>
      </c>
      <c r="E726">
        <v>9</v>
      </c>
      <c r="F726">
        <v>5.0599999999999996</v>
      </c>
      <c r="G726">
        <v>1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0</v>
      </c>
      <c r="O726">
        <v>1</v>
      </c>
      <c r="P726">
        <v>1</v>
      </c>
      <c r="Q726">
        <v>117.66666669999999</v>
      </c>
    </row>
    <row r="727" spans="1:17" x14ac:dyDescent="0.25">
      <c r="A727">
        <v>42</v>
      </c>
      <c r="B727">
        <v>28</v>
      </c>
      <c r="C727">
        <v>2</v>
      </c>
      <c r="D727">
        <v>0</v>
      </c>
      <c r="E727">
        <v>5</v>
      </c>
      <c r="F727">
        <v>3.056</v>
      </c>
      <c r="G727">
        <v>0</v>
      </c>
      <c r="H727">
        <v>0</v>
      </c>
      <c r="I727">
        <v>1</v>
      </c>
      <c r="J727">
        <v>0</v>
      </c>
      <c r="K727">
        <v>0</v>
      </c>
      <c r="L727">
        <v>0</v>
      </c>
      <c r="M727">
        <v>1</v>
      </c>
      <c r="N727">
        <v>0</v>
      </c>
      <c r="O727">
        <v>0</v>
      </c>
      <c r="P727">
        <v>1</v>
      </c>
      <c r="Q727">
        <v>150.6</v>
      </c>
    </row>
    <row r="728" spans="1:17" x14ac:dyDescent="0.25">
      <c r="A728">
        <v>79</v>
      </c>
      <c r="B728">
        <v>25</v>
      </c>
      <c r="C728">
        <v>2</v>
      </c>
      <c r="D728">
        <v>0</v>
      </c>
      <c r="E728">
        <v>5</v>
      </c>
      <c r="F728">
        <v>3.05</v>
      </c>
      <c r="G728">
        <v>1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0</v>
      </c>
      <c r="O728">
        <v>0</v>
      </c>
      <c r="P728">
        <v>0</v>
      </c>
      <c r="Q728">
        <v>22.466666669999999</v>
      </c>
    </row>
    <row r="729" spans="1:17" x14ac:dyDescent="0.25">
      <c r="A729">
        <v>69</v>
      </c>
      <c r="B729">
        <v>27</v>
      </c>
      <c r="C729">
        <v>2</v>
      </c>
      <c r="D729">
        <v>0</v>
      </c>
      <c r="E729">
        <v>9</v>
      </c>
      <c r="F729">
        <v>4.0539999999999896</v>
      </c>
      <c r="G729">
        <v>1</v>
      </c>
      <c r="H729">
        <v>0</v>
      </c>
      <c r="I729">
        <v>0</v>
      </c>
      <c r="J729">
        <v>0</v>
      </c>
      <c r="K729">
        <v>0</v>
      </c>
      <c r="L729">
        <v>1</v>
      </c>
      <c r="M729">
        <v>1</v>
      </c>
      <c r="N729">
        <v>0</v>
      </c>
      <c r="O729">
        <v>0</v>
      </c>
      <c r="P729">
        <v>0</v>
      </c>
      <c r="Q729">
        <v>210.96666669999999</v>
      </c>
    </row>
    <row r="730" spans="1:17" x14ac:dyDescent="0.25">
      <c r="A730">
        <v>57</v>
      </c>
      <c r="B730">
        <v>20</v>
      </c>
      <c r="C730">
        <v>1</v>
      </c>
      <c r="D730">
        <v>0</v>
      </c>
      <c r="E730">
        <v>8</v>
      </c>
      <c r="F730">
        <v>3.04</v>
      </c>
      <c r="G730">
        <v>1</v>
      </c>
      <c r="H730">
        <v>0</v>
      </c>
      <c r="I730">
        <v>0</v>
      </c>
      <c r="J730">
        <v>0</v>
      </c>
      <c r="K730">
        <v>0</v>
      </c>
      <c r="L730">
        <v>1</v>
      </c>
      <c r="M730">
        <v>1</v>
      </c>
      <c r="N730">
        <v>0</v>
      </c>
      <c r="O730">
        <v>0</v>
      </c>
      <c r="P730">
        <v>1</v>
      </c>
      <c r="Q730">
        <v>268.89999999999998</v>
      </c>
    </row>
    <row r="731" spans="1:17" x14ac:dyDescent="0.25">
      <c r="A731">
        <v>43</v>
      </c>
      <c r="B731">
        <v>45</v>
      </c>
      <c r="C731">
        <v>2</v>
      </c>
      <c r="D731">
        <v>1</v>
      </c>
      <c r="E731">
        <v>13</v>
      </c>
      <c r="F731">
        <v>5.09</v>
      </c>
      <c r="G731">
        <v>1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1</v>
      </c>
      <c r="O731">
        <v>0</v>
      </c>
      <c r="P731">
        <v>0</v>
      </c>
      <c r="Q731">
        <v>48.166666669999998</v>
      </c>
    </row>
    <row r="732" spans="1:17" x14ac:dyDescent="0.25">
      <c r="A732">
        <v>52</v>
      </c>
      <c r="B732">
        <v>33</v>
      </c>
      <c r="C732">
        <v>2</v>
      </c>
      <c r="D732">
        <v>3</v>
      </c>
      <c r="E732">
        <v>11</v>
      </c>
      <c r="F732">
        <v>5.0659999999999998</v>
      </c>
      <c r="G732">
        <v>1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0</v>
      </c>
      <c r="O732">
        <v>1</v>
      </c>
      <c r="P732">
        <v>0</v>
      </c>
      <c r="Q732">
        <v>35.4</v>
      </c>
    </row>
    <row r="733" spans="1:17" x14ac:dyDescent="0.25">
      <c r="A733">
        <v>63</v>
      </c>
      <c r="B733">
        <v>16</v>
      </c>
      <c r="C733">
        <v>1</v>
      </c>
      <c r="D733">
        <v>0</v>
      </c>
      <c r="E733">
        <v>8</v>
      </c>
      <c r="F733">
        <v>4.032</v>
      </c>
      <c r="G733">
        <v>1</v>
      </c>
      <c r="H733">
        <v>0</v>
      </c>
      <c r="I733">
        <v>0</v>
      </c>
      <c r="J733">
        <v>0</v>
      </c>
      <c r="K733">
        <v>0</v>
      </c>
      <c r="L733">
        <v>1</v>
      </c>
      <c r="M733">
        <v>1</v>
      </c>
      <c r="N733">
        <v>0</v>
      </c>
      <c r="O733">
        <v>0</v>
      </c>
      <c r="P733">
        <v>1</v>
      </c>
      <c r="Q733">
        <v>230.5</v>
      </c>
    </row>
    <row r="734" spans="1:17" x14ac:dyDescent="0.25">
      <c r="A734">
        <v>33</v>
      </c>
      <c r="B734">
        <v>20</v>
      </c>
      <c r="C734">
        <v>2</v>
      </c>
      <c r="D734">
        <v>3</v>
      </c>
      <c r="E734">
        <v>6</v>
      </c>
      <c r="F734">
        <v>5.04</v>
      </c>
      <c r="G734">
        <v>1</v>
      </c>
      <c r="H734">
        <v>0</v>
      </c>
      <c r="I734">
        <v>0</v>
      </c>
      <c r="J734">
        <v>0</v>
      </c>
      <c r="K734">
        <v>0</v>
      </c>
      <c r="L734">
        <v>1</v>
      </c>
      <c r="M734">
        <v>1</v>
      </c>
      <c r="N734">
        <v>1</v>
      </c>
      <c r="O734">
        <v>0</v>
      </c>
      <c r="P734">
        <v>0</v>
      </c>
      <c r="Q734">
        <v>176.7</v>
      </c>
    </row>
    <row r="735" spans="1:17" x14ac:dyDescent="0.25">
      <c r="A735">
        <v>47</v>
      </c>
      <c r="B735">
        <v>35</v>
      </c>
      <c r="C735">
        <v>2</v>
      </c>
      <c r="D735">
        <v>0</v>
      </c>
      <c r="E735">
        <v>4</v>
      </c>
      <c r="F735">
        <v>4.07</v>
      </c>
      <c r="G735">
        <v>1</v>
      </c>
      <c r="H735">
        <v>0</v>
      </c>
      <c r="I735">
        <v>0</v>
      </c>
      <c r="J735">
        <v>0</v>
      </c>
      <c r="K735">
        <v>0</v>
      </c>
      <c r="L735">
        <v>1</v>
      </c>
      <c r="M735">
        <v>1</v>
      </c>
      <c r="N735">
        <v>0</v>
      </c>
      <c r="O735">
        <v>0</v>
      </c>
      <c r="P735">
        <v>0</v>
      </c>
      <c r="Q735">
        <v>232.4</v>
      </c>
    </row>
    <row r="736" spans="1:17" x14ac:dyDescent="0.25">
      <c r="A736">
        <v>41</v>
      </c>
      <c r="B736">
        <v>30</v>
      </c>
      <c r="C736">
        <v>2</v>
      </c>
      <c r="D736">
        <v>0</v>
      </c>
      <c r="E736">
        <v>5</v>
      </c>
      <c r="F736">
        <v>4.0599999999999996</v>
      </c>
      <c r="G736">
        <v>1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0</v>
      </c>
      <c r="O736">
        <v>0</v>
      </c>
      <c r="P736">
        <v>0</v>
      </c>
      <c r="Q736">
        <v>64.866666670000001</v>
      </c>
    </row>
    <row r="737" spans="1:17" x14ac:dyDescent="0.25">
      <c r="A737">
        <v>40</v>
      </c>
      <c r="B737">
        <v>1</v>
      </c>
      <c r="C737">
        <v>1</v>
      </c>
      <c r="D737">
        <v>0</v>
      </c>
      <c r="E737">
        <v>5</v>
      </c>
      <c r="F737">
        <v>2.0019999999999998</v>
      </c>
      <c r="G737">
        <v>0</v>
      </c>
      <c r="H737">
        <v>1</v>
      </c>
      <c r="I737">
        <v>0</v>
      </c>
      <c r="J737">
        <v>0</v>
      </c>
      <c r="K737">
        <v>0</v>
      </c>
      <c r="L737">
        <v>1</v>
      </c>
      <c r="M737">
        <v>1</v>
      </c>
      <c r="N737">
        <v>0</v>
      </c>
      <c r="O737">
        <v>0</v>
      </c>
      <c r="P737">
        <v>0</v>
      </c>
      <c r="Q737">
        <v>197.43333329999999</v>
      </c>
    </row>
    <row r="738" spans="1:17" x14ac:dyDescent="0.25">
      <c r="A738">
        <v>40</v>
      </c>
      <c r="B738">
        <v>20</v>
      </c>
      <c r="C738">
        <v>1</v>
      </c>
      <c r="D738">
        <v>0</v>
      </c>
      <c r="E738">
        <v>8</v>
      </c>
      <c r="F738">
        <v>3.04</v>
      </c>
      <c r="G738">
        <v>1</v>
      </c>
      <c r="H738">
        <v>0</v>
      </c>
      <c r="I738">
        <v>0</v>
      </c>
      <c r="J738">
        <v>0</v>
      </c>
      <c r="K738">
        <v>0</v>
      </c>
      <c r="L738">
        <v>1</v>
      </c>
      <c r="M738">
        <v>1</v>
      </c>
      <c r="N738">
        <v>0</v>
      </c>
      <c r="O738">
        <v>0</v>
      </c>
      <c r="P738">
        <v>1</v>
      </c>
      <c r="Q738">
        <v>275.73333330000003</v>
      </c>
    </row>
    <row r="739" spans="1:17" x14ac:dyDescent="0.25">
      <c r="A739">
        <v>47</v>
      </c>
      <c r="B739">
        <v>18</v>
      </c>
      <c r="C739">
        <v>1</v>
      </c>
      <c r="D739">
        <v>0</v>
      </c>
      <c r="E739">
        <v>5</v>
      </c>
      <c r="F739">
        <v>3.036</v>
      </c>
      <c r="G739">
        <v>1</v>
      </c>
      <c r="H739">
        <v>0</v>
      </c>
      <c r="I739">
        <v>0</v>
      </c>
      <c r="J739">
        <v>0</v>
      </c>
      <c r="K739">
        <v>0</v>
      </c>
      <c r="L739">
        <v>1</v>
      </c>
      <c r="M739">
        <v>1</v>
      </c>
      <c r="N739">
        <v>0</v>
      </c>
      <c r="O739">
        <v>1</v>
      </c>
      <c r="P739">
        <v>0</v>
      </c>
      <c r="Q739">
        <v>224.6</v>
      </c>
    </row>
    <row r="740" spans="1:17" x14ac:dyDescent="0.25">
      <c r="A740">
        <v>69</v>
      </c>
      <c r="B740">
        <v>40</v>
      </c>
      <c r="C740">
        <v>2</v>
      </c>
      <c r="D740">
        <v>3</v>
      </c>
      <c r="E740">
        <v>9</v>
      </c>
      <c r="F740">
        <v>5.08</v>
      </c>
      <c r="G740">
        <v>1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0</v>
      </c>
      <c r="O740">
        <v>1</v>
      </c>
      <c r="P740">
        <v>1</v>
      </c>
      <c r="Q740">
        <v>47.9</v>
      </c>
    </row>
    <row r="741" spans="1:17" x14ac:dyDescent="0.25">
      <c r="A741">
        <v>43</v>
      </c>
      <c r="B741">
        <v>15</v>
      </c>
      <c r="C741">
        <v>2</v>
      </c>
      <c r="D741">
        <v>2</v>
      </c>
      <c r="E741">
        <v>4</v>
      </c>
      <c r="F741">
        <v>5.03</v>
      </c>
      <c r="G741">
        <v>1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1</v>
      </c>
      <c r="O741">
        <v>0</v>
      </c>
      <c r="P741">
        <v>1</v>
      </c>
      <c r="Q741">
        <v>31.43333333</v>
      </c>
    </row>
    <row r="742" spans="1:17" x14ac:dyDescent="0.25">
      <c r="A742">
        <v>78</v>
      </c>
      <c r="B742">
        <v>28</v>
      </c>
      <c r="C742">
        <v>2</v>
      </c>
      <c r="D742">
        <v>3</v>
      </c>
      <c r="E742">
        <v>3</v>
      </c>
      <c r="F742">
        <v>4.056</v>
      </c>
      <c r="G742">
        <v>1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0</v>
      </c>
      <c r="O742">
        <v>1</v>
      </c>
      <c r="P742">
        <v>1</v>
      </c>
      <c r="Q742">
        <v>50</v>
      </c>
    </row>
    <row r="743" spans="1:17" x14ac:dyDescent="0.25">
      <c r="A743">
        <v>75</v>
      </c>
      <c r="B743">
        <v>22</v>
      </c>
      <c r="C743">
        <v>2</v>
      </c>
      <c r="D743">
        <v>1</v>
      </c>
      <c r="E743">
        <v>10</v>
      </c>
      <c r="F743">
        <v>5.0439999999999996</v>
      </c>
      <c r="G743">
        <v>1</v>
      </c>
      <c r="H743">
        <v>0</v>
      </c>
      <c r="I743">
        <v>0</v>
      </c>
      <c r="J743">
        <v>0</v>
      </c>
      <c r="K743">
        <v>0</v>
      </c>
      <c r="L743">
        <v>1</v>
      </c>
      <c r="M743">
        <v>1</v>
      </c>
      <c r="N743">
        <v>0</v>
      </c>
      <c r="O743">
        <v>1</v>
      </c>
      <c r="P743">
        <v>0</v>
      </c>
      <c r="Q743">
        <v>220.03333330000001</v>
      </c>
    </row>
    <row r="744" spans="1:17" x14ac:dyDescent="0.25">
      <c r="A744">
        <v>59</v>
      </c>
      <c r="B744">
        <v>26</v>
      </c>
      <c r="C744">
        <v>2</v>
      </c>
      <c r="D744">
        <v>6</v>
      </c>
      <c r="E744">
        <v>10</v>
      </c>
      <c r="F744">
        <v>6.0519999999999996</v>
      </c>
      <c r="G744">
        <v>1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0</v>
      </c>
      <c r="O744">
        <v>1</v>
      </c>
      <c r="P744">
        <v>1</v>
      </c>
      <c r="Q744">
        <v>40</v>
      </c>
    </row>
    <row r="745" spans="1:17" x14ac:dyDescent="0.25">
      <c r="A745">
        <v>62</v>
      </c>
      <c r="B745">
        <v>30</v>
      </c>
      <c r="C745">
        <v>2</v>
      </c>
      <c r="D745">
        <v>2</v>
      </c>
      <c r="E745">
        <v>6</v>
      </c>
      <c r="F745">
        <v>5.0599999999999996</v>
      </c>
      <c r="G745">
        <v>1</v>
      </c>
      <c r="H745">
        <v>0</v>
      </c>
      <c r="I745">
        <v>0</v>
      </c>
      <c r="J745">
        <v>0</v>
      </c>
      <c r="K745">
        <v>0</v>
      </c>
      <c r="L745">
        <v>1</v>
      </c>
      <c r="M745">
        <v>1</v>
      </c>
      <c r="N745">
        <v>0</v>
      </c>
      <c r="O745">
        <v>1</v>
      </c>
      <c r="P745">
        <v>1</v>
      </c>
      <c r="Q745">
        <v>58.433333330000004</v>
      </c>
    </row>
    <row r="746" spans="1:17" x14ac:dyDescent="0.25">
      <c r="A746">
        <v>58</v>
      </c>
      <c r="B746">
        <v>30</v>
      </c>
      <c r="C746">
        <v>2</v>
      </c>
      <c r="D746">
        <v>0</v>
      </c>
      <c r="E746">
        <v>10</v>
      </c>
      <c r="F746">
        <v>4.0599999999999996</v>
      </c>
      <c r="G746">
        <v>1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0</v>
      </c>
      <c r="O746">
        <v>1</v>
      </c>
      <c r="P746">
        <v>0</v>
      </c>
      <c r="Q746">
        <v>30.366666670000001</v>
      </c>
    </row>
    <row r="747" spans="1:17" x14ac:dyDescent="0.25">
      <c r="A747">
        <v>50</v>
      </c>
      <c r="B747">
        <v>30</v>
      </c>
      <c r="C747">
        <v>2</v>
      </c>
      <c r="D747">
        <v>0</v>
      </c>
      <c r="E747">
        <v>2</v>
      </c>
      <c r="F747">
        <v>3.06</v>
      </c>
      <c r="G747">
        <v>1</v>
      </c>
      <c r="H747">
        <v>0</v>
      </c>
      <c r="I747">
        <v>0</v>
      </c>
      <c r="J747">
        <v>0</v>
      </c>
      <c r="K747">
        <v>0</v>
      </c>
      <c r="L747">
        <v>1</v>
      </c>
      <c r="M747">
        <v>1</v>
      </c>
      <c r="N747">
        <v>0</v>
      </c>
      <c r="O747">
        <v>0</v>
      </c>
      <c r="P747">
        <v>0</v>
      </c>
      <c r="Q747">
        <v>272.89999999999998</v>
      </c>
    </row>
    <row r="748" spans="1:17" x14ac:dyDescent="0.25">
      <c r="A748">
        <v>74</v>
      </c>
      <c r="B748">
        <v>28</v>
      </c>
      <c r="C748">
        <v>2</v>
      </c>
      <c r="D748">
        <v>4</v>
      </c>
      <c r="E748">
        <v>10</v>
      </c>
      <c r="F748">
        <v>5.056</v>
      </c>
      <c r="G748">
        <v>1</v>
      </c>
      <c r="H748">
        <v>0</v>
      </c>
      <c r="I748">
        <v>0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1</v>
      </c>
      <c r="P748">
        <v>1</v>
      </c>
      <c r="Q748">
        <v>70.233333329999994</v>
      </c>
    </row>
    <row r="749" spans="1:17" x14ac:dyDescent="0.25">
      <c r="A749">
        <v>36</v>
      </c>
      <c r="B749">
        <v>23</v>
      </c>
      <c r="C749">
        <v>2</v>
      </c>
      <c r="D749">
        <v>3</v>
      </c>
      <c r="E749">
        <v>4</v>
      </c>
      <c r="F749">
        <v>5.0460000000000003</v>
      </c>
      <c r="G749">
        <v>1</v>
      </c>
      <c r="H749">
        <v>0</v>
      </c>
      <c r="I749">
        <v>0</v>
      </c>
      <c r="J749">
        <v>0</v>
      </c>
      <c r="K749">
        <v>0</v>
      </c>
      <c r="L749">
        <v>1</v>
      </c>
      <c r="M749">
        <v>1</v>
      </c>
      <c r="N749">
        <v>1</v>
      </c>
      <c r="O749">
        <v>1</v>
      </c>
      <c r="P749">
        <v>0</v>
      </c>
      <c r="Q749">
        <v>194.2</v>
      </c>
    </row>
    <row r="750" spans="1:17" x14ac:dyDescent="0.25">
      <c r="A750">
        <v>41</v>
      </c>
      <c r="B750">
        <v>20</v>
      </c>
      <c r="C750">
        <v>1</v>
      </c>
      <c r="D750">
        <v>0</v>
      </c>
      <c r="E750">
        <v>5</v>
      </c>
      <c r="F750">
        <v>4.04</v>
      </c>
      <c r="G750">
        <v>1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0</v>
      </c>
      <c r="P750">
        <v>0</v>
      </c>
      <c r="Q750">
        <v>77.233333329999994</v>
      </c>
    </row>
    <row r="751" spans="1:17" x14ac:dyDescent="0.25">
      <c r="A751">
        <v>33</v>
      </c>
      <c r="B751">
        <v>25</v>
      </c>
      <c r="C751">
        <v>2</v>
      </c>
      <c r="D751">
        <v>1</v>
      </c>
      <c r="E751">
        <v>30</v>
      </c>
      <c r="F751">
        <v>4.05</v>
      </c>
      <c r="G751">
        <v>1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1</v>
      </c>
      <c r="O751">
        <v>0</v>
      </c>
      <c r="P751">
        <v>1</v>
      </c>
      <c r="Q751">
        <v>70.599999999999994</v>
      </c>
    </row>
    <row r="752" spans="1:17" x14ac:dyDescent="0.25">
      <c r="A752">
        <v>57</v>
      </c>
      <c r="B752">
        <v>20</v>
      </c>
      <c r="C752">
        <v>1</v>
      </c>
      <c r="D752">
        <v>0</v>
      </c>
      <c r="E752">
        <v>3</v>
      </c>
      <c r="F752">
        <v>3.04</v>
      </c>
      <c r="G752">
        <v>1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0</v>
      </c>
      <c r="O752">
        <v>0</v>
      </c>
      <c r="P752">
        <v>1</v>
      </c>
      <c r="Q752">
        <v>58.633333329999999</v>
      </c>
    </row>
    <row r="753" spans="1:17" x14ac:dyDescent="0.25">
      <c r="A753">
        <v>69</v>
      </c>
      <c r="B753">
        <v>22</v>
      </c>
      <c r="C753">
        <v>2</v>
      </c>
      <c r="D753">
        <v>0</v>
      </c>
      <c r="E753">
        <v>16</v>
      </c>
      <c r="F753">
        <v>4.0439999999999996</v>
      </c>
      <c r="G753">
        <v>1</v>
      </c>
      <c r="H753">
        <v>0</v>
      </c>
      <c r="I753">
        <v>0</v>
      </c>
      <c r="J753">
        <v>0</v>
      </c>
      <c r="K753">
        <v>0</v>
      </c>
      <c r="L753">
        <v>1</v>
      </c>
      <c r="M753">
        <v>1</v>
      </c>
      <c r="N753">
        <v>0</v>
      </c>
      <c r="O753">
        <v>0</v>
      </c>
      <c r="P753">
        <v>0</v>
      </c>
      <c r="Q753">
        <v>216.96666669999999</v>
      </c>
    </row>
    <row r="754" spans="1:17" x14ac:dyDescent="0.25">
      <c r="A754">
        <v>69</v>
      </c>
      <c r="B754">
        <v>30</v>
      </c>
      <c r="C754">
        <v>2</v>
      </c>
      <c r="D754">
        <v>12</v>
      </c>
      <c r="E754">
        <v>5</v>
      </c>
      <c r="F754">
        <v>6.06</v>
      </c>
      <c r="G754">
        <v>1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0</v>
      </c>
      <c r="O754">
        <v>1</v>
      </c>
      <c r="P754">
        <v>1</v>
      </c>
      <c r="Q754">
        <v>150.6</v>
      </c>
    </row>
    <row r="755" spans="1:17" x14ac:dyDescent="0.25">
      <c r="A755">
        <v>67</v>
      </c>
      <c r="B755">
        <v>21</v>
      </c>
      <c r="C755">
        <v>2</v>
      </c>
      <c r="D755">
        <v>0</v>
      </c>
      <c r="E755">
        <v>10</v>
      </c>
      <c r="F755">
        <v>4.0419999999999998</v>
      </c>
      <c r="G755">
        <v>1</v>
      </c>
      <c r="H755">
        <v>0</v>
      </c>
      <c r="I755">
        <v>0</v>
      </c>
      <c r="J755">
        <v>0</v>
      </c>
      <c r="K755">
        <v>0</v>
      </c>
      <c r="L755">
        <v>1</v>
      </c>
      <c r="M755">
        <v>1</v>
      </c>
      <c r="N755">
        <v>0</v>
      </c>
      <c r="O755">
        <v>0</v>
      </c>
      <c r="P755">
        <v>1</v>
      </c>
      <c r="Q755">
        <v>184.4</v>
      </c>
    </row>
    <row r="756" spans="1:17" x14ac:dyDescent="0.25">
      <c r="A756">
        <v>69</v>
      </c>
      <c r="B756">
        <v>60</v>
      </c>
      <c r="C756">
        <v>3</v>
      </c>
      <c r="D756">
        <v>4</v>
      </c>
      <c r="E756">
        <v>2</v>
      </c>
      <c r="F756">
        <v>6.12</v>
      </c>
      <c r="G756">
        <v>1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0</v>
      </c>
      <c r="O756">
        <v>1</v>
      </c>
      <c r="P756">
        <v>1</v>
      </c>
      <c r="Q756">
        <v>69.3</v>
      </c>
    </row>
    <row r="757" spans="1:17" x14ac:dyDescent="0.25">
      <c r="A757">
        <v>70</v>
      </c>
      <c r="B757">
        <v>20</v>
      </c>
      <c r="C757">
        <v>1</v>
      </c>
      <c r="D757">
        <v>0</v>
      </c>
      <c r="E757">
        <v>3</v>
      </c>
      <c r="F757">
        <v>3.04</v>
      </c>
      <c r="G757">
        <v>0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1</v>
      </c>
      <c r="Q757">
        <v>197.66666669999901</v>
      </c>
    </row>
    <row r="758" spans="1:17" x14ac:dyDescent="0.25">
      <c r="A758">
        <v>76</v>
      </c>
      <c r="B758">
        <v>13</v>
      </c>
      <c r="C758">
        <v>1</v>
      </c>
      <c r="D758">
        <v>0</v>
      </c>
      <c r="E758">
        <v>8</v>
      </c>
      <c r="F758">
        <v>2.0259999999999998</v>
      </c>
      <c r="G758">
        <v>1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1</v>
      </c>
      <c r="P758">
        <v>0</v>
      </c>
      <c r="Q758">
        <v>117.5666667</v>
      </c>
    </row>
    <row r="759" spans="1:17" x14ac:dyDescent="0.25">
      <c r="A759">
        <v>56</v>
      </c>
      <c r="B759">
        <v>25</v>
      </c>
      <c r="C759">
        <v>2</v>
      </c>
      <c r="D759">
        <v>0</v>
      </c>
      <c r="E759">
        <v>10</v>
      </c>
      <c r="F759">
        <v>3.05</v>
      </c>
      <c r="G759">
        <v>1</v>
      </c>
      <c r="H759">
        <v>0</v>
      </c>
      <c r="I759">
        <v>0</v>
      </c>
      <c r="J759">
        <v>0</v>
      </c>
      <c r="K759">
        <v>0</v>
      </c>
      <c r="L759">
        <v>1</v>
      </c>
      <c r="M759">
        <v>1</v>
      </c>
      <c r="N759">
        <v>0</v>
      </c>
      <c r="O759">
        <v>0</v>
      </c>
      <c r="P759">
        <v>1</v>
      </c>
      <c r="Q759">
        <v>219.46666669999999</v>
      </c>
    </row>
    <row r="760" spans="1:17" x14ac:dyDescent="0.25">
      <c r="A760">
        <v>55</v>
      </c>
      <c r="B760">
        <v>50</v>
      </c>
      <c r="C760">
        <v>2</v>
      </c>
      <c r="D760">
        <v>6</v>
      </c>
      <c r="E760">
        <v>5</v>
      </c>
      <c r="F760">
        <v>4.0999999999999996</v>
      </c>
      <c r="G760">
        <v>0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1</v>
      </c>
      <c r="P760">
        <v>0</v>
      </c>
      <c r="Q760">
        <v>49.3</v>
      </c>
    </row>
    <row r="761" spans="1:17" x14ac:dyDescent="0.25">
      <c r="A761">
        <v>56</v>
      </c>
      <c r="B761">
        <v>25</v>
      </c>
      <c r="C761">
        <v>2</v>
      </c>
      <c r="D761">
        <v>5</v>
      </c>
      <c r="E761">
        <v>7</v>
      </c>
      <c r="F761">
        <v>5.05</v>
      </c>
      <c r="G761">
        <v>0</v>
      </c>
      <c r="H761">
        <v>0</v>
      </c>
      <c r="I761">
        <v>1</v>
      </c>
      <c r="J761">
        <v>0</v>
      </c>
      <c r="K761">
        <v>0</v>
      </c>
      <c r="L761">
        <v>1</v>
      </c>
      <c r="M761">
        <v>1</v>
      </c>
      <c r="N761">
        <v>0</v>
      </c>
      <c r="O761">
        <v>1</v>
      </c>
      <c r="P761">
        <v>1</v>
      </c>
      <c r="Q761">
        <v>78.7</v>
      </c>
    </row>
    <row r="762" spans="1:17" x14ac:dyDescent="0.25">
      <c r="A762">
        <v>58</v>
      </c>
      <c r="B762">
        <v>20</v>
      </c>
      <c r="C762">
        <v>1</v>
      </c>
      <c r="D762">
        <v>0</v>
      </c>
      <c r="E762">
        <v>5</v>
      </c>
      <c r="F762">
        <v>2.04</v>
      </c>
      <c r="G762">
        <v>0</v>
      </c>
      <c r="H762">
        <v>0</v>
      </c>
      <c r="I762">
        <v>1</v>
      </c>
      <c r="J762">
        <v>0</v>
      </c>
      <c r="K762">
        <v>0</v>
      </c>
      <c r="L762">
        <v>1</v>
      </c>
      <c r="M762">
        <v>1</v>
      </c>
      <c r="N762">
        <v>0</v>
      </c>
      <c r="O762">
        <v>1</v>
      </c>
      <c r="P762">
        <v>0</v>
      </c>
      <c r="Q762">
        <v>198.43333329999999</v>
      </c>
    </row>
    <row r="763" spans="1:17" x14ac:dyDescent="0.25">
      <c r="A763">
        <v>41</v>
      </c>
      <c r="B763">
        <v>50</v>
      </c>
      <c r="C763">
        <v>2</v>
      </c>
      <c r="D763">
        <v>0</v>
      </c>
      <c r="E763">
        <v>8</v>
      </c>
      <c r="F763">
        <v>3.1</v>
      </c>
      <c r="G763">
        <v>1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1</v>
      </c>
      <c r="Q763">
        <v>79.8</v>
      </c>
    </row>
    <row r="764" spans="1:17" x14ac:dyDescent="0.25">
      <c r="A764">
        <v>77</v>
      </c>
      <c r="B764">
        <v>40</v>
      </c>
      <c r="C764">
        <v>2</v>
      </c>
      <c r="D764">
        <v>1</v>
      </c>
      <c r="E764">
        <v>4</v>
      </c>
      <c r="F764">
        <v>5.08</v>
      </c>
      <c r="G764">
        <v>1</v>
      </c>
      <c r="H764">
        <v>0</v>
      </c>
      <c r="I764">
        <v>0</v>
      </c>
      <c r="J764">
        <v>0</v>
      </c>
      <c r="K764">
        <v>0</v>
      </c>
      <c r="L764">
        <v>1</v>
      </c>
      <c r="M764">
        <v>1</v>
      </c>
      <c r="N764">
        <v>0</v>
      </c>
      <c r="O764">
        <v>1</v>
      </c>
      <c r="P764">
        <v>0</v>
      </c>
      <c r="Q764">
        <v>126.8666667</v>
      </c>
    </row>
    <row r="765" spans="1:17" x14ac:dyDescent="0.25">
      <c r="A765">
        <v>66</v>
      </c>
      <c r="B765">
        <v>33</v>
      </c>
      <c r="C765">
        <v>2</v>
      </c>
      <c r="D765">
        <v>0</v>
      </c>
      <c r="E765">
        <v>9</v>
      </c>
      <c r="F765">
        <v>3.0659999999999998</v>
      </c>
      <c r="G765">
        <v>0</v>
      </c>
      <c r="H765">
        <v>0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0</v>
      </c>
      <c r="P765">
        <v>0</v>
      </c>
      <c r="Q765">
        <v>165.3666667</v>
      </c>
    </row>
    <row r="766" spans="1:17" x14ac:dyDescent="0.25">
      <c r="A766">
        <v>33</v>
      </c>
      <c r="B766">
        <v>50</v>
      </c>
      <c r="C766">
        <v>2</v>
      </c>
      <c r="D766">
        <v>4</v>
      </c>
      <c r="E766">
        <v>15</v>
      </c>
      <c r="F766">
        <v>6.1</v>
      </c>
      <c r="G766">
        <v>1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1</v>
      </c>
      <c r="O766">
        <v>0</v>
      </c>
      <c r="P766">
        <v>1</v>
      </c>
      <c r="Q766">
        <v>75.233333329999994</v>
      </c>
    </row>
    <row r="767" spans="1:17" x14ac:dyDescent="0.25">
      <c r="A767">
        <v>75</v>
      </c>
      <c r="B767">
        <v>32</v>
      </c>
      <c r="C767">
        <v>2</v>
      </c>
      <c r="D767">
        <v>6</v>
      </c>
      <c r="E767">
        <v>10</v>
      </c>
      <c r="F767">
        <v>6.0640000000000001</v>
      </c>
      <c r="G767">
        <v>0</v>
      </c>
      <c r="H767">
        <v>0</v>
      </c>
      <c r="I767">
        <v>1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1</v>
      </c>
      <c r="P767">
        <v>0</v>
      </c>
      <c r="Q767">
        <v>65.566666670000004</v>
      </c>
    </row>
    <row r="768" spans="1:17" x14ac:dyDescent="0.25">
      <c r="A768">
        <v>44</v>
      </c>
      <c r="B768">
        <v>30</v>
      </c>
      <c r="C768">
        <v>2</v>
      </c>
      <c r="D768">
        <v>0</v>
      </c>
      <c r="E768">
        <v>6</v>
      </c>
      <c r="F768">
        <v>3.06</v>
      </c>
      <c r="G768">
        <v>1</v>
      </c>
      <c r="H768">
        <v>0</v>
      </c>
      <c r="I768">
        <v>0</v>
      </c>
      <c r="J768">
        <v>0</v>
      </c>
      <c r="K768">
        <v>0</v>
      </c>
      <c r="L768">
        <v>1</v>
      </c>
      <c r="M768">
        <v>1</v>
      </c>
      <c r="N768">
        <v>0</v>
      </c>
      <c r="O768">
        <v>0</v>
      </c>
      <c r="P768">
        <v>1</v>
      </c>
      <c r="Q768">
        <v>187.93333329999999</v>
      </c>
    </row>
    <row r="769" spans="1:17" x14ac:dyDescent="0.25">
      <c r="A769">
        <v>71</v>
      </c>
      <c r="B769">
        <v>21</v>
      </c>
      <c r="C769">
        <v>2</v>
      </c>
      <c r="D769">
        <v>1</v>
      </c>
      <c r="E769">
        <v>9</v>
      </c>
      <c r="F769">
        <v>4.0419999999999998</v>
      </c>
      <c r="G769">
        <v>1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1</v>
      </c>
      <c r="P769">
        <v>0</v>
      </c>
      <c r="Q769">
        <v>81.8</v>
      </c>
    </row>
    <row r="770" spans="1:17" x14ac:dyDescent="0.25">
      <c r="A770">
        <v>42</v>
      </c>
      <c r="B770">
        <v>37</v>
      </c>
      <c r="C770">
        <v>2</v>
      </c>
      <c r="D770">
        <v>2</v>
      </c>
      <c r="E770">
        <v>17</v>
      </c>
      <c r="F770">
        <v>5.0739999999999998</v>
      </c>
      <c r="G770">
        <v>1</v>
      </c>
      <c r="H770">
        <v>0</v>
      </c>
      <c r="I770">
        <v>0</v>
      </c>
      <c r="J770">
        <v>0</v>
      </c>
      <c r="K770">
        <v>0</v>
      </c>
      <c r="L770">
        <v>1</v>
      </c>
      <c r="M770">
        <v>1</v>
      </c>
      <c r="N770">
        <v>1</v>
      </c>
      <c r="O770">
        <v>0</v>
      </c>
      <c r="P770">
        <v>1</v>
      </c>
      <c r="Q770">
        <v>216.7333333</v>
      </c>
    </row>
    <row r="771" spans="1:17" x14ac:dyDescent="0.25">
      <c r="A771">
        <v>65</v>
      </c>
      <c r="B771">
        <v>60</v>
      </c>
      <c r="C771">
        <v>3</v>
      </c>
      <c r="D771">
        <v>2</v>
      </c>
      <c r="E771">
        <v>4</v>
      </c>
      <c r="F771">
        <v>5.12</v>
      </c>
      <c r="G771">
        <v>1</v>
      </c>
      <c r="H771">
        <v>0</v>
      </c>
      <c r="I771">
        <v>0</v>
      </c>
      <c r="J771">
        <v>0</v>
      </c>
      <c r="K771">
        <v>0</v>
      </c>
      <c r="L771">
        <v>1</v>
      </c>
      <c r="M771">
        <v>1</v>
      </c>
      <c r="N771">
        <v>1</v>
      </c>
      <c r="O771">
        <v>0</v>
      </c>
      <c r="P771">
        <v>1</v>
      </c>
      <c r="Q771">
        <v>223.3</v>
      </c>
    </row>
    <row r="772" spans="1:17" x14ac:dyDescent="0.25">
      <c r="A772">
        <v>65</v>
      </c>
      <c r="B772">
        <v>14</v>
      </c>
      <c r="C772">
        <v>2</v>
      </c>
      <c r="D772">
        <v>6</v>
      </c>
      <c r="E772">
        <v>4</v>
      </c>
      <c r="F772">
        <v>6.0279999999999996</v>
      </c>
      <c r="G772">
        <v>1</v>
      </c>
      <c r="H772">
        <v>0</v>
      </c>
      <c r="I772">
        <v>0</v>
      </c>
      <c r="J772">
        <v>0</v>
      </c>
      <c r="K772">
        <v>0</v>
      </c>
      <c r="L772">
        <v>1</v>
      </c>
      <c r="M772">
        <v>1</v>
      </c>
      <c r="N772">
        <v>0</v>
      </c>
      <c r="O772">
        <v>1</v>
      </c>
      <c r="P772">
        <v>1</v>
      </c>
      <c r="Q772">
        <v>144.93333329999999</v>
      </c>
    </row>
    <row r="773" spans="1:17" x14ac:dyDescent="0.25">
      <c r="A773">
        <v>49</v>
      </c>
      <c r="B773">
        <v>12</v>
      </c>
      <c r="C773">
        <v>1</v>
      </c>
      <c r="D773">
        <v>0</v>
      </c>
      <c r="E773">
        <v>4</v>
      </c>
      <c r="F773">
        <v>4.024</v>
      </c>
      <c r="G773">
        <v>1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0</v>
      </c>
      <c r="O773">
        <v>0</v>
      </c>
      <c r="P773">
        <v>1</v>
      </c>
      <c r="Q773">
        <v>37.799999999999997</v>
      </c>
    </row>
    <row r="774" spans="1:17" x14ac:dyDescent="0.25">
      <c r="A774">
        <v>62</v>
      </c>
      <c r="B774">
        <v>17</v>
      </c>
      <c r="C774">
        <v>2</v>
      </c>
      <c r="D774">
        <v>4</v>
      </c>
      <c r="E774">
        <v>8</v>
      </c>
      <c r="F774">
        <v>6.0339999999999998</v>
      </c>
      <c r="G774">
        <v>0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0</v>
      </c>
      <c r="O774">
        <v>1</v>
      </c>
      <c r="P774">
        <v>1</v>
      </c>
      <c r="Q774">
        <v>84.833333330000002</v>
      </c>
    </row>
    <row r="775" spans="1:17" x14ac:dyDescent="0.25">
      <c r="A775">
        <v>46</v>
      </c>
      <c r="B775">
        <v>25</v>
      </c>
      <c r="C775">
        <v>2</v>
      </c>
      <c r="D775">
        <v>0</v>
      </c>
      <c r="E775">
        <v>5</v>
      </c>
      <c r="F775">
        <v>4.05</v>
      </c>
      <c r="G775">
        <v>0</v>
      </c>
      <c r="H775">
        <v>1</v>
      </c>
      <c r="I775">
        <v>0</v>
      </c>
      <c r="J775">
        <v>0</v>
      </c>
      <c r="K775">
        <v>0</v>
      </c>
      <c r="L775">
        <v>1</v>
      </c>
      <c r="M775">
        <v>1</v>
      </c>
      <c r="N775">
        <v>0</v>
      </c>
      <c r="O775">
        <v>0</v>
      </c>
      <c r="P775">
        <v>1</v>
      </c>
      <c r="Q775">
        <v>189.8666667</v>
      </c>
    </row>
    <row r="776" spans="1:17" x14ac:dyDescent="0.25">
      <c r="A776">
        <v>63</v>
      </c>
      <c r="B776">
        <v>43</v>
      </c>
      <c r="C776">
        <v>2</v>
      </c>
      <c r="D776">
        <v>0</v>
      </c>
      <c r="E776">
        <v>8</v>
      </c>
      <c r="F776">
        <v>2.0859999999999999</v>
      </c>
      <c r="G776">
        <v>0</v>
      </c>
      <c r="H776">
        <v>0</v>
      </c>
      <c r="I776">
        <v>0</v>
      </c>
      <c r="J776">
        <v>1</v>
      </c>
      <c r="K776">
        <v>0</v>
      </c>
      <c r="L776">
        <v>0</v>
      </c>
      <c r="M776">
        <v>1</v>
      </c>
      <c r="N776">
        <v>0</v>
      </c>
      <c r="O776">
        <v>0</v>
      </c>
      <c r="P776">
        <v>1</v>
      </c>
      <c r="Q776">
        <v>52.733333330000001</v>
      </c>
    </row>
    <row r="777" spans="1:17" x14ac:dyDescent="0.25">
      <c r="A777">
        <v>56</v>
      </c>
      <c r="B777">
        <v>55</v>
      </c>
      <c r="C777">
        <v>2</v>
      </c>
      <c r="D777">
        <v>0</v>
      </c>
      <c r="E777">
        <v>19</v>
      </c>
      <c r="F777">
        <v>4.1100000000000003</v>
      </c>
      <c r="G777">
        <v>0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0</v>
      </c>
      <c r="O777">
        <v>0</v>
      </c>
      <c r="P777">
        <v>0</v>
      </c>
      <c r="Q777">
        <v>213.2</v>
      </c>
    </row>
    <row r="778" spans="1:17" x14ac:dyDescent="0.25">
      <c r="A778">
        <v>67</v>
      </c>
      <c r="B778">
        <v>55</v>
      </c>
      <c r="C778">
        <v>3</v>
      </c>
      <c r="D778">
        <v>1</v>
      </c>
      <c r="E778">
        <v>2</v>
      </c>
      <c r="F778">
        <v>5.1100000000000003</v>
      </c>
      <c r="G778">
        <v>1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0</v>
      </c>
      <c r="O778">
        <v>1</v>
      </c>
      <c r="P778">
        <v>1</v>
      </c>
      <c r="Q778">
        <v>62.133333329999999</v>
      </c>
    </row>
    <row r="779" spans="1:17" x14ac:dyDescent="0.25">
      <c r="A779">
        <v>45</v>
      </c>
      <c r="B779">
        <v>20</v>
      </c>
      <c r="C779">
        <v>1</v>
      </c>
      <c r="D779">
        <v>0</v>
      </c>
      <c r="E779">
        <v>2</v>
      </c>
      <c r="F779">
        <v>4.04</v>
      </c>
      <c r="G779">
        <v>1</v>
      </c>
      <c r="H779">
        <v>0</v>
      </c>
      <c r="I779">
        <v>0</v>
      </c>
      <c r="J779">
        <v>0</v>
      </c>
      <c r="K779">
        <v>0</v>
      </c>
      <c r="L779">
        <v>1</v>
      </c>
      <c r="M779">
        <v>1</v>
      </c>
      <c r="N779">
        <v>0</v>
      </c>
      <c r="O779">
        <v>0</v>
      </c>
      <c r="P779">
        <v>1</v>
      </c>
      <c r="Q779">
        <v>173.93333329999999</v>
      </c>
    </row>
    <row r="780" spans="1:17" x14ac:dyDescent="0.25">
      <c r="A780">
        <v>70</v>
      </c>
      <c r="B780">
        <v>40</v>
      </c>
      <c r="C780">
        <v>3</v>
      </c>
      <c r="D780">
        <v>6</v>
      </c>
      <c r="E780">
        <v>5</v>
      </c>
      <c r="F780">
        <v>6.08</v>
      </c>
      <c r="G780">
        <v>0</v>
      </c>
      <c r="H780">
        <v>1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0</v>
      </c>
      <c r="O780">
        <v>1</v>
      </c>
      <c r="P780">
        <v>1</v>
      </c>
      <c r="Q780">
        <v>128.3666667</v>
      </c>
    </row>
    <row r="781" spans="1:17" x14ac:dyDescent="0.25">
      <c r="A781">
        <v>55</v>
      </c>
      <c r="B781">
        <v>17</v>
      </c>
      <c r="C781">
        <v>1</v>
      </c>
      <c r="D781">
        <v>0</v>
      </c>
      <c r="E781">
        <v>2</v>
      </c>
      <c r="F781">
        <v>3.0339999999999998</v>
      </c>
      <c r="G781">
        <v>1</v>
      </c>
      <c r="H781">
        <v>0</v>
      </c>
      <c r="I781">
        <v>0</v>
      </c>
      <c r="J781">
        <v>0</v>
      </c>
      <c r="K781">
        <v>0</v>
      </c>
      <c r="L781">
        <v>1</v>
      </c>
      <c r="M781">
        <v>1</v>
      </c>
      <c r="N781">
        <v>0</v>
      </c>
      <c r="O781">
        <v>0</v>
      </c>
      <c r="P781">
        <v>1</v>
      </c>
      <c r="Q781">
        <v>139.43333329999999</v>
      </c>
    </row>
    <row r="782" spans="1:17" x14ac:dyDescent="0.25">
      <c r="A782">
        <v>44</v>
      </c>
      <c r="B782">
        <v>16</v>
      </c>
      <c r="C782">
        <v>1</v>
      </c>
      <c r="D782">
        <v>0</v>
      </c>
      <c r="E782">
        <v>8</v>
      </c>
      <c r="F782">
        <v>3.032</v>
      </c>
      <c r="G782">
        <v>1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0</v>
      </c>
      <c r="O782">
        <v>0</v>
      </c>
      <c r="P782">
        <v>1</v>
      </c>
      <c r="Q782">
        <v>86.366666670000001</v>
      </c>
    </row>
    <row r="783" spans="1:17" x14ac:dyDescent="0.25">
      <c r="A783">
        <v>61</v>
      </c>
      <c r="B783">
        <v>17</v>
      </c>
      <c r="C783">
        <v>1</v>
      </c>
      <c r="D783">
        <v>0</v>
      </c>
      <c r="E783">
        <v>3</v>
      </c>
      <c r="F783">
        <v>3.0339999999999998</v>
      </c>
      <c r="G783">
        <v>0</v>
      </c>
      <c r="H783">
        <v>1</v>
      </c>
      <c r="I783">
        <v>0</v>
      </c>
      <c r="J783">
        <v>0</v>
      </c>
      <c r="K783">
        <v>0</v>
      </c>
      <c r="L783">
        <v>1</v>
      </c>
      <c r="M783">
        <v>1</v>
      </c>
      <c r="N783">
        <v>0</v>
      </c>
      <c r="O783">
        <v>0</v>
      </c>
      <c r="P783">
        <v>0</v>
      </c>
      <c r="Q783">
        <v>255.3</v>
      </c>
    </row>
    <row r="784" spans="1:17" x14ac:dyDescent="0.25">
      <c r="A784">
        <v>55</v>
      </c>
      <c r="B784">
        <v>15</v>
      </c>
      <c r="C784">
        <v>1</v>
      </c>
      <c r="D784">
        <v>0</v>
      </c>
      <c r="E784">
        <v>9</v>
      </c>
      <c r="F784">
        <v>3.03</v>
      </c>
      <c r="G784">
        <v>0</v>
      </c>
      <c r="H784">
        <v>1</v>
      </c>
      <c r="I784">
        <v>0</v>
      </c>
      <c r="J784">
        <v>0</v>
      </c>
      <c r="K784">
        <v>0</v>
      </c>
      <c r="L784">
        <v>1</v>
      </c>
      <c r="M784">
        <v>1</v>
      </c>
      <c r="N784">
        <v>0</v>
      </c>
      <c r="O784">
        <v>1</v>
      </c>
      <c r="P784">
        <v>1</v>
      </c>
      <c r="Q784">
        <v>184.33333329999999</v>
      </c>
    </row>
    <row r="785" spans="1:17" x14ac:dyDescent="0.25">
      <c r="A785">
        <v>52</v>
      </c>
      <c r="B785">
        <v>1</v>
      </c>
      <c r="C785">
        <v>1</v>
      </c>
      <c r="D785">
        <v>0</v>
      </c>
      <c r="E785">
        <v>4</v>
      </c>
      <c r="F785">
        <v>4.0019999999999998</v>
      </c>
      <c r="G785">
        <v>1</v>
      </c>
      <c r="H785">
        <v>0</v>
      </c>
      <c r="I785">
        <v>0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0</v>
      </c>
      <c r="P785">
        <v>0</v>
      </c>
      <c r="Q785">
        <v>187.7</v>
      </c>
    </row>
    <row r="786" spans="1:17" x14ac:dyDescent="0.25">
      <c r="A786">
        <v>39</v>
      </c>
      <c r="B786">
        <v>15</v>
      </c>
      <c r="C786">
        <v>1</v>
      </c>
      <c r="D786">
        <v>0</v>
      </c>
      <c r="E786">
        <v>12</v>
      </c>
      <c r="F786">
        <v>4.03</v>
      </c>
      <c r="G786">
        <v>1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0</v>
      </c>
      <c r="O786">
        <v>0</v>
      </c>
      <c r="P786">
        <v>0</v>
      </c>
      <c r="Q786">
        <v>56.333333330000002</v>
      </c>
    </row>
    <row r="787" spans="1:17" x14ac:dyDescent="0.25">
      <c r="A787">
        <v>61</v>
      </c>
      <c r="B787">
        <v>15</v>
      </c>
      <c r="C787">
        <v>2</v>
      </c>
      <c r="D787">
        <v>16</v>
      </c>
      <c r="E787">
        <v>6</v>
      </c>
      <c r="F787">
        <v>6.03</v>
      </c>
      <c r="G787">
        <v>0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1</v>
      </c>
      <c r="O787">
        <v>1</v>
      </c>
      <c r="P787">
        <v>1</v>
      </c>
      <c r="Q787">
        <v>178.7333333</v>
      </c>
    </row>
    <row r="788" spans="1:17" x14ac:dyDescent="0.25">
      <c r="A788">
        <v>53</v>
      </c>
      <c r="B788">
        <v>17</v>
      </c>
      <c r="C788">
        <v>1</v>
      </c>
      <c r="D788">
        <v>0</v>
      </c>
      <c r="E788">
        <v>8</v>
      </c>
      <c r="F788">
        <v>3.0339999999999998</v>
      </c>
      <c r="G788">
        <v>0</v>
      </c>
      <c r="H788">
        <v>1</v>
      </c>
      <c r="I788">
        <v>0</v>
      </c>
      <c r="J788">
        <v>0</v>
      </c>
      <c r="K788">
        <v>0</v>
      </c>
      <c r="L788">
        <v>1</v>
      </c>
      <c r="M788">
        <v>1</v>
      </c>
      <c r="N788">
        <v>0</v>
      </c>
      <c r="O788">
        <v>0</v>
      </c>
      <c r="P788">
        <v>0</v>
      </c>
      <c r="Q788">
        <v>257.6333333</v>
      </c>
    </row>
    <row r="789" spans="1:17" x14ac:dyDescent="0.25">
      <c r="A789">
        <v>71</v>
      </c>
      <c r="B789">
        <v>25</v>
      </c>
      <c r="C789">
        <v>2</v>
      </c>
      <c r="D789">
        <v>2</v>
      </c>
      <c r="E789">
        <v>1</v>
      </c>
      <c r="F789">
        <v>4.05</v>
      </c>
      <c r="G789">
        <v>1</v>
      </c>
      <c r="H789">
        <v>0</v>
      </c>
      <c r="I789">
        <v>0</v>
      </c>
      <c r="J789">
        <v>0</v>
      </c>
      <c r="K789">
        <v>0</v>
      </c>
      <c r="L789">
        <v>1</v>
      </c>
      <c r="M789">
        <v>1</v>
      </c>
      <c r="N789">
        <v>0</v>
      </c>
      <c r="O789">
        <v>1</v>
      </c>
      <c r="P789">
        <v>1</v>
      </c>
      <c r="Q789">
        <v>39.433333330000004</v>
      </c>
    </row>
    <row r="790" spans="1:17" x14ac:dyDescent="0.25">
      <c r="A790">
        <v>75</v>
      </c>
      <c r="B790">
        <v>20</v>
      </c>
      <c r="C790">
        <v>2</v>
      </c>
      <c r="D790">
        <v>1</v>
      </c>
      <c r="E790">
        <v>7</v>
      </c>
      <c r="F790">
        <v>5.04</v>
      </c>
      <c r="G790">
        <v>1</v>
      </c>
      <c r="H790">
        <v>0</v>
      </c>
      <c r="I790">
        <v>0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1</v>
      </c>
      <c r="P790">
        <v>1</v>
      </c>
      <c r="Q790">
        <v>168.2666667</v>
      </c>
    </row>
    <row r="791" spans="1:17" x14ac:dyDescent="0.25">
      <c r="A791">
        <v>41</v>
      </c>
      <c r="B791">
        <v>20</v>
      </c>
      <c r="C791">
        <v>2</v>
      </c>
      <c r="D791">
        <v>1</v>
      </c>
      <c r="E791">
        <v>6</v>
      </c>
      <c r="F791">
        <v>5.04</v>
      </c>
      <c r="G791">
        <v>1</v>
      </c>
      <c r="H791">
        <v>0</v>
      </c>
      <c r="I791">
        <v>0</v>
      </c>
      <c r="J791">
        <v>0</v>
      </c>
      <c r="K791">
        <v>0</v>
      </c>
      <c r="L791">
        <v>1</v>
      </c>
      <c r="M791">
        <v>1</v>
      </c>
      <c r="N791">
        <v>1</v>
      </c>
      <c r="O791">
        <v>0</v>
      </c>
      <c r="P791">
        <v>1</v>
      </c>
      <c r="Q791">
        <v>215.16666669999901</v>
      </c>
    </row>
    <row r="792" spans="1:17" x14ac:dyDescent="0.25">
      <c r="A792">
        <v>63</v>
      </c>
      <c r="B792">
        <v>20</v>
      </c>
      <c r="C792">
        <v>1</v>
      </c>
      <c r="D792">
        <v>0</v>
      </c>
      <c r="E792">
        <v>11</v>
      </c>
      <c r="F792">
        <v>3.04</v>
      </c>
      <c r="G792">
        <v>1</v>
      </c>
      <c r="H792">
        <v>0</v>
      </c>
      <c r="I792">
        <v>0</v>
      </c>
      <c r="J792">
        <v>0</v>
      </c>
      <c r="K792">
        <v>0</v>
      </c>
      <c r="L792">
        <v>1</v>
      </c>
      <c r="M792">
        <v>1</v>
      </c>
      <c r="N792">
        <v>0</v>
      </c>
      <c r="O792">
        <v>0</v>
      </c>
      <c r="P792">
        <v>0</v>
      </c>
      <c r="Q792">
        <v>91.5</v>
      </c>
    </row>
    <row r="793" spans="1:17" x14ac:dyDescent="0.25">
      <c r="A793">
        <v>68</v>
      </c>
      <c r="B793">
        <v>16</v>
      </c>
      <c r="C793">
        <v>1</v>
      </c>
      <c r="D793">
        <v>0</v>
      </c>
      <c r="E793">
        <v>3</v>
      </c>
      <c r="F793">
        <v>4.032</v>
      </c>
      <c r="G793">
        <v>0</v>
      </c>
      <c r="H793">
        <v>1</v>
      </c>
      <c r="I793">
        <v>0</v>
      </c>
      <c r="J793">
        <v>0</v>
      </c>
      <c r="K793">
        <v>0</v>
      </c>
      <c r="L793">
        <v>1</v>
      </c>
      <c r="M793">
        <v>1</v>
      </c>
      <c r="N793">
        <v>0</v>
      </c>
      <c r="O793">
        <v>0</v>
      </c>
      <c r="P793">
        <v>0</v>
      </c>
      <c r="Q793">
        <v>184.8</v>
      </c>
    </row>
    <row r="794" spans="1:17" x14ac:dyDescent="0.25">
      <c r="A794">
        <v>53</v>
      </c>
      <c r="B794">
        <v>25</v>
      </c>
      <c r="C794">
        <v>2</v>
      </c>
      <c r="D794">
        <v>1</v>
      </c>
      <c r="E794">
        <v>5</v>
      </c>
      <c r="F794">
        <v>4.05</v>
      </c>
      <c r="G794">
        <v>1</v>
      </c>
      <c r="H794">
        <v>0</v>
      </c>
      <c r="I794">
        <v>0</v>
      </c>
      <c r="J794">
        <v>0</v>
      </c>
      <c r="K794">
        <v>0</v>
      </c>
      <c r="L794">
        <v>1</v>
      </c>
      <c r="M794">
        <v>1</v>
      </c>
      <c r="N794">
        <v>0</v>
      </c>
      <c r="O794">
        <v>1</v>
      </c>
      <c r="P794">
        <v>1</v>
      </c>
      <c r="Q794">
        <v>94.7</v>
      </c>
    </row>
    <row r="795" spans="1:17" x14ac:dyDescent="0.25">
      <c r="A795">
        <v>52</v>
      </c>
      <c r="B795">
        <v>30</v>
      </c>
      <c r="C795">
        <v>2</v>
      </c>
      <c r="D795">
        <v>1</v>
      </c>
      <c r="E795">
        <v>12</v>
      </c>
      <c r="F795">
        <v>5.0599999999999996</v>
      </c>
      <c r="G795">
        <v>1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1</v>
      </c>
      <c r="O795">
        <v>0</v>
      </c>
      <c r="P795">
        <v>0</v>
      </c>
      <c r="Q795">
        <v>50.233333330000001</v>
      </c>
    </row>
    <row r="796" spans="1:17" x14ac:dyDescent="0.25">
      <c r="A796">
        <v>56</v>
      </c>
      <c r="B796">
        <v>24</v>
      </c>
      <c r="C796">
        <v>2</v>
      </c>
      <c r="D796">
        <v>1</v>
      </c>
      <c r="E796">
        <v>6</v>
      </c>
      <c r="F796">
        <v>4.048</v>
      </c>
      <c r="G796">
        <v>1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0</v>
      </c>
      <c r="O796">
        <v>1</v>
      </c>
      <c r="P796">
        <v>1</v>
      </c>
      <c r="Q796">
        <v>87.1</v>
      </c>
    </row>
    <row r="797" spans="1:17" x14ac:dyDescent="0.25">
      <c r="A797">
        <v>66</v>
      </c>
      <c r="B797">
        <v>15</v>
      </c>
      <c r="C797">
        <v>1</v>
      </c>
      <c r="D797">
        <v>0</v>
      </c>
      <c r="E797">
        <v>7</v>
      </c>
      <c r="F797">
        <v>3.03</v>
      </c>
      <c r="G797">
        <v>1</v>
      </c>
      <c r="H797">
        <v>0</v>
      </c>
      <c r="I797">
        <v>0</v>
      </c>
      <c r="J797">
        <v>0</v>
      </c>
      <c r="K797">
        <v>0</v>
      </c>
      <c r="L797">
        <v>1</v>
      </c>
      <c r="M797">
        <v>1</v>
      </c>
      <c r="N797">
        <v>0</v>
      </c>
      <c r="O797">
        <v>0</v>
      </c>
      <c r="P797">
        <v>1</v>
      </c>
      <c r="Q797">
        <v>199.93333329999999</v>
      </c>
    </row>
    <row r="798" spans="1:17" x14ac:dyDescent="0.25">
      <c r="A798">
        <v>49</v>
      </c>
      <c r="B798">
        <v>20</v>
      </c>
      <c r="C798">
        <v>1</v>
      </c>
      <c r="D798">
        <v>0</v>
      </c>
      <c r="E798">
        <v>5</v>
      </c>
      <c r="F798">
        <v>3.04</v>
      </c>
      <c r="G798">
        <v>1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0</v>
      </c>
      <c r="O798">
        <v>0</v>
      </c>
      <c r="P798">
        <v>0</v>
      </c>
      <c r="Q798">
        <v>198.1</v>
      </c>
    </row>
    <row r="799" spans="1:17" x14ac:dyDescent="0.25">
      <c r="A799">
        <v>56</v>
      </c>
      <c r="B799">
        <v>22</v>
      </c>
      <c r="C799">
        <v>2</v>
      </c>
      <c r="D799">
        <v>0</v>
      </c>
      <c r="E799">
        <v>2</v>
      </c>
      <c r="F799">
        <v>3.0439999999999898</v>
      </c>
      <c r="G799">
        <v>1</v>
      </c>
      <c r="H799">
        <v>0</v>
      </c>
      <c r="I799">
        <v>0</v>
      </c>
      <c r="J799">
        <v>0</v>
      </c>
      <c r="K799">
        <v>0</v>
      </c>
      <c r="L799">
        <v>1</v>
      </c>
      <c r="M799">
        <v>1</v>
      </c>
      <c r="N799">
        <v>0</v>
      </c>
      <c r="O799">
        <v>1</v>
      </c>
      <c r="P799">
        <v>0</v>
      </c>
      <c r="Q799">
        <v>61.6</v>
      </c>
    </row>
    <row r="800" spans="1:17" x14ac:dyDescent="0.25">
      <c r="A800">
        <v>32</v>
      </c>
      <c r="B800">
        <v>20</v>
      </c>
      <c r="C800">
        <v>2</v>
      </c>
      <c r="D800">
        <v>17</v>
      </c>
      <c r="E800">
        <v>6</v>
      </c>
      <c r="F800">
        <v>6.04</v>
      </c>
      <c r="G800">
        <v>1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1</v>
      </c>
      <c r="O800">
        <v>1</v>
      </c>
      <c r="P800">
        <v>1</v>
      </c>
      <c r="Q800">
        <v>19.899999999999999</v>
      </c>
    </row>
    <row r="801" spans="1:17" x14ac:dyDescent="0.25">
      <c r="A801">
        <v>67</v>
      </c>
      <c r="B801">
        <v>50</v>
      </c>
      <c r="C801">
        <v>3</v>
      </c>
      <c r="D801">
        <v>14</v>
      </c>
      <c r="E801">
        <v>1</v>
      </c>
      <c r="F801">
        <v>5.0999999999999996</v>
      </c>
      <c r="G801">
        <v>1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</v>
      </c>
      <c r="O801">
        <v>1</v>
      </c>
      <c r="P801">
        <v>1</v>
      </c>
      <c r="Q801">
        <v>34.333333330000002</v>
      </c>
    </row>
    <row r="802" spans="1:17" x14ac:dyDescent="0.25">
      <c r="A802">
        <v>69</v>
      </c>
      <c r="B802">
        <v>20</v>
      </c>
      <c r="C802">
        <v>2</v>
      </c>
      <c r="D802">
        <v>20</v>
      </c>
      <c r="E802">
        <v>6</v>
      </c>
      <c r="F802">
        <v>6.04</v>
      </c>
      <c r="G802">
        <v>1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1</v>
      </c>
      <c r="O802">
        <v>1</v>
      </c>
      <c r="P802">
        <v>1</v>
      </c>
      <c r="Q802">
        <v>30.366666670000001</v>
      </c>
    </row>
    <row r="803" spans="1:17" x14ac:dyDescent="0.25">
      <c r="A803">
        <v>63</v>
      </c>
      <c r="B803">
        <v>11</v>
      </c>
      <c r="C803">
        <v>1</v>
      </c>
      <c r="D803">
        <v>0</v>
      </c>
      <c r="E803">
        <v>2</v>
      </c>
      <c r="F803">
        <v>3.0219999999999998</v>
      </c>
      <c r="G803">
        <v>1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0</v>
      </c>
      <c r="O803">
        <v>0</v>
      </c>
      <c r="P803">
        <v>1</v>
      </c>
      <c r="Q803">
        <v>204.43333329999999</v>
      </c>
    </row>
    <row r="804" spans="1:17" x14ac:dyDescent="0.25">
      <c r="A804">
        <v>61</v>
      </c>
      <c r="B804">
        <v>41</v>
      </c>
      <c r="C804">
        <v>2</v>
      </c>
      <c r="D804">
        <v>0</v>
      </c>
      <c r="E804">
        <v>3</v>
      </c>
      <c r="F804">
        <v>4.0819999999999999</v>
      </c>
      <c r="G804">
        <v>1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0</v>
      </c>
      <c r="O804">
        <v>1</v>
      </c>
      <c r="P804">
        <v>1</v>
      </c>
      <c r="Q804">
        <v>82.633333329999999</v>
      </c>
    </row>
    <row r="805" spans="1:17" x14ac:dyDescent="0.25">
      <c r="A805">
        <v>59</v>
      </c>
      <c r="B805">
        <v>25</v>
      </c>
      <c r="C805">
        <v>2</v>
      </c>
      <c r="D805">
        <v>0</v>
      </c>
      <c r="E805">
        <v>8</v>
      </c>
      <c r="F805">
        <v>1.05</v>
      </c>
      <c r="G805">
        <v>0</v>
      </c>
      <c r="H805">
        <v>0</v>
      </c>
      <c r="I805">
        <v>1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1</v>
      </c>
      <c r="P805">
        <v>0</v>
      </c>
      <c r="Q805">
        <v>21.9</v>
      </c>
    </row>
    <row r="806" spans="1:17" x14ac:dyDescent="0.25">
      <c r="A806">
        <v>43</v>
      </c>
      <c r="B806">
        <v>17</v>
      </c>
      <c r="C806">
        <v>1</v>
      </c>
      <c r="D806">
        <v>0</v>
      </c>
      <c r="E806">
        <v>2</v>
      </c>
      <c r="F806">
        <v>3.0339999999999998</v>
      </c>
      <c r="G806">
        <v>1</v>
      </c>
      <c r="H806">
        <v>0</v>
      </c>
      <c r="I806">
        <v>0</v>
      </c>
      <c r="J806">
        <v>0</v>
      </c>
      <c r="K806">
        <v>0</v>
      </c>
      <c r="L806">
        <v>1</v>
      </c>
      <c r="M806">
        <v>1</v>
      </c>
      <c r="N806">
        <v>0</v>
      </c>
      <c r="O806">
        <v>1</v>
      </c>
      <c r="P806">
        <v>1</v>
      </c>
      <c r="Q806">
        <v>175.6333333</v>
      </c>
    </row>
    <row r="807" spans="1:17" x14ac:dyDescent="0.25">
      <c r="A807">
        <v>40</v>
      </c>
      <c r="B807">
        <v>30</v>
      </c>
      <c r="C807">
        <v>2</v>
      </c>
      <c r="D807">
        <v>1</v>
      </c>
      <c r="E807">
        <v>3</v>
      </c>
      <c r="F807">
        <v>5.0599999999999996</v>
      </c>
      <c r="G807">
        <v>1</v>
      </c>
      <c r="H807">
        <v>0</v>
      </c>
      <c r="I807">
        <v>0</v>
      </c>
      <c r="J807">
        <v>0</v>
      </c>
      <c r="K807">
        <v>0</v>
      </c>
      <c r="L807">
        <v>1</v>
      </c>
      <c r="M807">
        <v>1</v>
      </c>
      <c r="N807">
        <v>1</v>
      </c>
      <c r="O807">
        <v>0</v>
      </c>
      <c r="P807">
        <v>1</v>
      </c>
      <c r="Q807">
        <v>77.400000000000006</v>
      </c>
    </row>
    <row r="808" spans="1:17" x14ac:dyDescent="0.25">
      <c r="A808">
        <v>74</v>
      </c>
      <c r="B808">
        <v>18</v>
      </c>
      <c r="C808">
        <v>2</v>
      </c>
      <c r="D808">
        <v>7</v>
      </c>
      <c r="E808">
        <v>6</v>
      </c>
      <c r="F808">
        <v>5.0359999999999996</v>
      </c>
      <c r="G808">
        <v>1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1</v>
      </c>
      <c r="P808">
        <v>1</v>
      </c>
      <c r="Q808">
        <v>71.766666670000006</v>
      </c>
    </row>
    <row r="809" spans="1:17" x14ac:dyDescent="0.25">
      <c r="A809">
        <v>51</v>
      </c>
      <c r="B809">
        <v>30</v>
      </c>
      <c r="C809">
        <v>2</v>
      </c>
      <c r="D809">
        <v>0</v>
      </c>
      <c r="E809">
        <v>5</v>
      </c>
      <c r="F809">
        <v>3.06</v>
      </c>
      <c r="G809">
        <v>1</v>
      </c>
      <c r="H809">
        <v>0</v>
      </c>
      <c r="I809">
        <v>0</v>
      </c>
      <c r="J809">
        <v>0</v>
      </c>
      <c r="K809">
        <v>0</v>
      </c>
      <c r="L809">
        <v>1</v>
      </c>
      <c r="M809">
        <v>1</v>
      </c>
      <c r="N809">
        <v>0</v>
      </c>
      <c r="O809">
        <v>1</v>
      </c>
      <c r="P809">
        <v>1</v>
      </c>
      <c r="Q809">
        <v>209.2666667</v>
      </c>
    </row>
    <row r="810" spans="1:17" x14ac:dyDescent="0.25">
      <c r="A810">
        <v>72</v>
      </c>
      <c r="B810">
        <v>12</v>
      </c>
      <c r="C810">
        <v>1</v>
      </c>
      <c r="D810">
        <v>0</v>
      </c>
      <c r="E810">
        <v>5</v>
      </c>
      <c r="F810">
        <v>3.0239999999999898</v>
      </c>
      <c r="G810">
        <v>1</v>
      </c>
      <c r="H810">
        <v>0</v>
      </c>
      <c r="I810">
        <v>0</v>
      </c>
      <c r="J810">
        <v>0</v>
      </c>
      <c r="K810">
        <v>0</v>
      </c>
      <c r="L810">
        <v>1</v>
      </c>
      <c r="M810">
        <v>1</v>
      </c>
      <c r="N810">
        <v>0</v>
      </c>
      <c r="O810">
        <v>1</v>
      </c>
      <c r="P810">
        <v>1</v>
      </c>
      <c r="Q810">
        <v>211.7333333</v>
      </c>
    </row>
    <row r="811" spans="1:17" x14ac:dyDescent="0.25">
      <c r="A811">
        <v>75</v>
      </c>
      <c r="B811">
        <v>20</v>
      </c>
      <c r="C811">
        <v>1</v>
      </c>
      <c r="D811">
        <v>0</v>
      </c>
      <c r="E811">
        <v>7</v>
      </c>
      <c r="F811">
        <v>3.04</v>
      </c>
      <c r="G811">
        <v>1</v>
      </c>
      <c r="H811">
        <v>0</v>
      </c>
      <c r="I811">
        <v>0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0</v>
      </c>
      <c r="P811">
        <v>0</v>
      </c>
      <c r="Q811">
        <v>59.766666669999999</v>
      </c>
    </row>
    <row r="812" spans="1:17" x14ac:dyDescent="0.25">
      <c r="A812">
        <v>47</v>
      </c>
      <c r="B812">
        <v>30</v>
      </c>
      <c r="C812">
        <v>2</v>
      </c>
      <c r="D812">
        <v>1</v>
      </c>
      <c r="E812">
        <v>9</v>
      </c>
      <c r="F812">
        <v>5.0599999999999996</v>
      </c>
      <c r="G812">
        <v>1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1</v>
      </c>
      <c r="O812">
        <v>0</v>
      </c>
      <c r="P812">
        <v>1</v>
      </c>
      <c r="Q812">
        <v>27.8</v>
      </c>
    </row>
    <row r="813" spans="1:17" x14ac:dyDescent="0.25">
      <c r="A813">
        <v>69</v>
      </c>
      <c r="B813">
        <v>20</v>
      </c>
      <c r="C813">
        <v>2</v>
      </c>
      <c r="D813">
        <v>1</v>
      </c>
      <c r="E813">
        <v>8</v>
      </c>
      <c r="F813">
        <v>4.04</v>
      </c>
      <c r="G813">
        <v>1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1</v>
      </c>
      <c r="P813">
        <v>0</v>
      </c>
      <c r="Q813">
        <v>90.3</v>
      </c>
    </row>
    <row r="814" spans="1:17" x14ac:dyDescent="0.25">
      <c r="A814">
        <v>83</v>
      </c>
      <c r="B814">
        <v>26</v>
      </c>
      <c r="C814">
        <v>3</v>
      </c>
      <c r="D814">
        <v>0</v>
      </c>
      <c r="E814">
        <v>5</v>
      </c>
      <c r="F814">
        <v>3.052</v>
      </c>
      <c r="G814">
        <v>1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1</v>
      </c>
      <c r="P814">
        <v>0</v>
      </c>
      <c r="Q814">
        <v>124.2</v>
      </c>
    </row>
    <row r="815" spans="1:17" x14ac:dyDescent="0.25">
      <c r="A815">
        <v>46</v>
      </c>
      <c r="B815">
        <v>10</v>
      </c>
      <c r="C815">
        <v>1</v>
      </c>
      <c r="D815">
        <v>0</v>
      </c>
      <c r="E815">
        <v>7</v>
      </c>
      <c r="F815">
        <v>3.02</v>
      </c>
      <c r="G815">
        <v>1</v>
      </c>
      <c r="H815">
        <v>0</v>
      </c>
      <c r="I815">
        <v>0</v>
      </c>
      <c r="J815">
        <v>0</v>
      </c>
      <c r="K815">
        <v>0</v>
      </c>
      <c r="L815">
        <v>1</v>
      </c>
      <c r="M815">
        <v>1</v>
      </c>
      <c r="N815">
        <v>0</v>
      </c>
      <c r="O815">
        <v>0</v>
      </c>
      <c r="P815">
        <v>1</v>
      </c>
      <c r="Q815">
        <v>196.53333330000001</v>
      </c>
    </row>
    <row r="816" spans="1:17" x14ac:dyDescent="0.25">
      <c r="A816">
        <v>38</v>
      </c>
      <c r="B816">
        <v>35</v>
      </c>
      <c r="C816">
        <v>2</v>
      </c>
      <c r="D816">
        <v>0</v>
      </c>
      <c r="E816">
        <v>7</v>
      </c>
      <c r="F816">
        <v>4.07</v>
      </c>
      <c r="G816">
        <v>1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1</v>
      </c>
      <c r="Q816">
        <v>37.366666670000001</v>
      </c>
    </row>
    <row r="817" spans="1:17" x14ac:dyDescent="0.25">
      <c r="A817">
        <v>57</v>
      </c>
      <c r="B817">
        <v>17</v>
      </c>
      <c r="C817">
        <v>1</v>
      </c>
      <c r="D817">
        <v>0</v>
      </c>
      <c r="E817">
        <v>4</v>
      </c>
      <c r="F817">
        <v>3.0339999999999998</v>
      </c>
      <c r="G817">
        <v>1</v>
      </c>
      <c r="H817">
        <v>0</v>
      </c>
      <c r="I817">
        <v>0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</v>
      </c>
      <c r="P817">
        <v>1</v>
      </c>
      <c r="Q817">
        <v>213.03333330000001</v>
      </c>
    </row>
    <row r="818" spans="1:17" x14ac:dyDescent="0.25">
      <c r="A818">
        <v>61</v>
      </c>
      <c r="B818">
        <v>25</v>
      </c>
      <c r="C818">
        <v>2</v>
      </c>
      <c r="D818">
        <v>0</v>
      </c>
      <c r="E818">
        <v>2</v>
      </c>
      <c r="F818">
        <v>4.05</v>
      </c>
      <c r="G818">
        <v>0</v>
      </c>
      <c r="H818">
        <v>1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1</v>
      </c>
      <c r="P818">
        <v>1</v>
      </c>
      <c r="Q818">
        <v>159.2333333</v>
      </c>
    </row>
    <row r="819" spans="1:17" x14ac:dyDescent="0.25">
      <c r="A819">
        <v>54</v>
      </c>
      <c r="B819">
        <v>25</v>
      </c>
      <c r="C819">
        <v>2</v>
      </c>
      <c r="D819">
        <v>0</v>
      </c>
      <c r="E819">
        <v>11</v>
      </c>
      <c r="F819">
        <v>4.05</v>
      </c>
      <c r="G819">
        <v>0</v>
      </c>
      <c r="H819">
        <v>0</v>
      </c>
      <c r="I819">
        <v>1</v>
      </c>
      <c r="J819">
        <v>0</v>
      </c>
      <c r="K819">
        <v>0</v>
      </c>
      <c r="L819">
        <v>1</v>
      </c>
      <c r="M819">
        <v>1</v>
      </c>
      <c r="N819">
        <v>0</v>
      </c>
      <c r="O819">
        <v>1</v>
      </c>
      <c r="P819">
        <v>0</v>
      </c>
      <c r="Q819">
        <v>20.266666669999999</v>
      </c>
    </row>
    <row r="820" spans="1:17" x14ac:dyDescent="0.25">
      <c r="A820">
        <v>69</v>
      </c>
      <c r="B820">
        <v>1</v>
      </c>
      <c r="C820">
        <v>1</v>
      </c>
      <c r="D820">
        <v>0</v>
      </c>
      <c r="E820">
        <v>1</v>
      </c>
      <c r="F820">
        <v>3.0019999999999998</v>
      </c>
      <c r="G820">
        <v>0</v>
      </c>
      <c r="H820">
        <v>0</v>
      </c>
      <c r="I820">
        <v>1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110.833333299999</v>
      </c>
    </row>
    <row r="821" spans="1:17" x14ac:dyDescent="0.25">
      <c r="A821">
        <v>31</v>
      </c>
      <c r="B821">
        <v>1</v>
      </c>
      <c r="C821">
        <v>1</v>
      </c>
      <c r="D821">
        <v>0</v>
      </c>
      <c r="E821">
        <v>2</v>
      </c>
      <c r="F821">
        <v>4.0019999999999998</v>
      </c>
      <c r="G821">
        <v>1</v>
      </c>
      <c r="H821">
        <v>0</v>
      </c>
      <c r="I821">
        <v>0</v>
      </c>
      <c r="J821">
        <v>0</v>
      </c>
      <c r="K821">
        <v>0</v>
      </c>
      <c r="L821">
        <v>1</v>
      </c>
      <c r="M821">
        <v>1</v>
      </c>
      <c r="N821">
        <v>0</v>
      </c>
      <c r="O821">
        <v>0</v>
      </c>
      <c r="P821">
        <v>0</v>
      </c>
      <c r="Q821">
        <v>170.83333329999999</v>
      </c>
    </row>
    <row r="822" spans="1:17" x14ac:dyDescent="0.25">
      <c r="A822">
        <v>51</v>
      </c>
      <c r="B822">
        <v>30</v>
      </c>
      <c r="C822">
        <v>2</v>
      </c>
      <c r="D822">
        <v>3</v>
      </c>
      <c r="E822">
        <v>7</v>
      </c>
      <c r="F822">
        <v>2.06</v>
      </c>
      <c r="G822">
        <v>1</v>
      </c>
      <c r="H822">
        <v>0</v>
      </c>
      <c r="I822">
        <v>0</v>
      </c>
      <c r="J822">
        <v>0</v>
      </c>
      <c r="K822">
        <v>0</v>
      </c>
      <c r="L822">
        <v>1</v>
      </c>
      <c r="M822">
        <v>1</v>
      </c>
      <c r="N822">
        <v>1</v>
      </c>
      <c r="O822">
        <v>1</v>
      </c>
      <c r="P822">
        <v>1</v>
      </c>
      <c r="Q822">
        <v>259.93333330000002</v>
      </c>
    </row>
    <row r="823" spans="1:17" x14ac:dyDescent="0.25">
      <c r="A823">
        <v>68</v>
      </c>
      <c r="B823">
        <v>25</v>
      </c>
      <c r="C823">
        <v>2</v>
      </c>
      <c r="D823">
        <v>0</v>
      </c>
      <c r="E823">
        <v>8</v>
      </c>
      <c r="F823">
        <v>3.05</v>
      </c>
      <c r="G823">
        <v>1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1</v>
      </c>
      <c r="P823">
        <v>1</v>
      </c>
      <c r="Q823">
        <v>87.733333329999994</v>
      </c>
    </row>
    <row r="824" spans="1:17" x14ac:dyDescent="0.25">
      <c r="A824">
        <v>44</v>
      </c>
      <c r="B824">
        <v>12</v>
      </c>
      <c r="C824">
        <v>1</v>
      </c>
      <c r="D824">
        <v>0</v>
      </c>
      <c r="E824">
        <v>4</v>
      </c>
      <c r="F824">
        <v>3.0239999999999898</v>
      </c>
      <c r="G824">
        <v>1</v>
      </c>
      <c r="H824">
        <v>0</v>
      </c>
      <c r="I824">
        <v>0</v>
      </c>
      <c r="J824">
        <v>0</v>
      </c>
      <c r="K824">
        <v>0</v>
      </c>
      <c r="L824">
        <v>1</v>
      </c>
      <c r="M824">
        <v>1</v>
      </c>
      <c r="N824">
        <v>0</v>
      </c>
      <c r="O824">
        <v>0</v>
      </c>
      <c r="P824">
        <v>1</v>
      </c>
      <c r="Q824">
        <v>175.33333329999999</v>
      </c>
    </row>
    <row r="825" spans="1:17" x14ac:dyDescent="0.25">
      <c r="A825">
        <v>53</v>
      </c>
      <c r="B825">
        <v>15</v>
      </c>
      <c r="C825">
        <v>1</v>
      </c>
      <c r="D825">
        <v>0</v>
      </c>
      <c r="E825">
        <v>3</v>
      </c>
      <c r="F825">
        <v>3.03</v>
      </c>
      <c r="G825">
        <v>1</v>
      </c>
      <c r="H825">
        <v>0</v>
      </c>
      <c r="I825">
        <v>0</v>
      </c>
      <c r="J825">
        <v>0</v>
      </c>
      <c r="K825">
        <v>0</v>
      </c>
      <c r="L825">
        <v>1</v>
      </c>
      <c r="M825">
        <v>1</v>
      </c>
      <c r="N825">
        <v>0</v>
      </c>
      <c r="O825">
        <v>0</v>
      </c>
      <c r="P825">
        <v>0</v>
      </c>
      <c r="Q825">
        <v>164.33333329999999</v>
      </c>
    </row>
    <row r="826" spans="1:17" x14ac:dyDescent="0.25">
      <c r="A826">
        <v>48</v>
      </c>
      <c r="B826">
        <v>13</v>
      </c>
      <c r="C826">
        <v>1</v>
      </c>
      <c r="D826">
        <v>0</v>
      </c>
      <c r="E826">
        <v>9</v>
      </c>
      <c r="F826">
        <v>4.0259999999999998</v>
      </c>
      <c r="G826">
        <v>1</v>
      </c>
      <c r="H826">
        <v>0</v>
      </c>
      <c r="I826">
        <v>0</v>
      </c>
      <c r="J826">
        <v>0</v>
      </c>
      <c r="K826">
        <v>0</v>
      </c>
      <c r="L826">
        <v>1</v>
      </c>
      <c r="M826">
        <v>1</v>
      </c>
      <c r="N826">
        <v>0</v>
      </c>
      <c r="O826">
        <v>0</v>
      </c>
      <c r="P826">
        <v>1</v>
      </c>
      <c r="Q826">
        <v>80.5</v>
      </c>
    </row>
    <row r="827" spans="1:17" x14ac:dyDescent="0.25">
      <c r="A827">
        <v>69</v>
      </c>
      <c r="B827">
        <v>30</v>
      </c>
      <c r="C827">
        <v>3</v>
      </c>
      <c r="D827">
        <v>11</v>
      </c>
      <c r="E827">
        <v>8</v>
      </c>
      <c r="F827">
        <v>6.06</v>
      </c>
      <c r="G827">
        <v>1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0</v>
      </c>
      <c r="O827">
        <v>1</v>
      </c>
      <c r="P827">
        <v>1</v>
      </c>
      <c r="Q827">
        <v>80.733333329999994</v>
      </c>
    </row>
    <row r="828" spans="1:17" x14ac:dyDescent="0.25">
      <c r="A828">
        <v>60</v>
      </c>
      <c r="B828">
        <v>30</v>
      </c>
      <c r="C828">
        <v>2</v>
      </c>
      <c r="D828">
        <v>0</v>
      </c>
      <c r="E828">
        <v>6</v>
      </c>
      <c r="F828">
        <v>1.06</v>
      </c>
      <c r="G828">
        <v>1</v>
      </c>
      <c r="H828">
        <v>0</v>
      </c>
      <c r="I828">
        <v>0</v>
      </c>
      <c r="J828">
        <v>0</v>
      </c>
      <c r="K828">
        <v>0</v>
      </c>
      <c r="L828">
        <v>1</v>
      </c>
      <c r="M828">
        <v>1</v>
      </c>
      <c r="N828">
        <v>0</v>
      </c>
      <c r="O828">
        <v>1</v>
      </c>
      <c r="P828">
        <v>0</v>
      </c>
      <c r="Q828">
        <v>208.4</v>
      </c>
    </row>
    <row r="829" spans="1:17" x14ac:dyDescent="0.25">
      <c r="A829">
        <v>62</v>
      </c>
      <c r="B829">
        <v>25</v>
      </c>
      <c r="C829">
        <v>2</v>
      </c>
      <c r="D829">
        <v>0</v>
      </c>
      <c r="E829">
        <v>15</v>
      </c>
      <c r="F829">
        <v>4.05</v>
      </c>
      <c r="G829">
        <v>1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51.966666670000002</v>
      </c>
    </row>
    <row r="830" spans="1:17" x14ac:dyDescent="0.25">
      <c r="A830">
        <v>46</v>
      </c>
      <c r="B830">
        <v>11</v>
      </c>
      <c r="C830">
        <v>1</v>
      </c>
      <c r="D830">
        <v>0</v>
      </c>
      <c r="E830">
        <v>3</v>
      </c>
      <c r="F830">
        <v>3.0219999999999998</v>
      </c>
      <c r="G830">
        <v>1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1</v>
      </c>
      <c r="Q830">
        <v>185</v>
      </c>
    </row>
    <row r="831" spans="1:17" x14ac:dyDescent="0.25">
      <c r="A831">
        <v>49</v>
      </c>
      <c r="B831">
        <v>40</v>
      </c>
      <c r="C831">
        <v>3</v>
      </c>
      <c r="D831">
        <v>7</v>
      </c>
      <c r="E831">
        <v>11</v>
      </c>
      <c r="F831">
        <v>6.08</v>
      </c>
      <c r="G831">
        <v>1</v>
      </c>
      <c r="H831">
        <v>0</v>
      </c>
      <c r="I831">
        <v>0</v>
      </c>
      <c r="J831">
        <v>0</v>
      </c>
      <c r="K831">
        <v>0</v>
      </c>
      <c r="L831">
        <v>1</v>
      </c>
      <c r="M831">
        <v>1</v>
      </c>
      <c r="N831">
        <v>1</v>
      </c>
      <c r="O831">
        <v>1</v>
      </c>
      <c r="P831">
        <v>1</v>
      </c>
      <c r="Q831">
        <v>184.2666667</v>
      </c>
    </row>
    <row r="832" spans="1:17" x14ac:dyDescent="0.25">
      <c r="A832">
        <v>69</v>
      </c>
      <c r="B832">
        <v>50</v>
      </c>
      <c r="C832">
        <v>2</v>
      </c>
      <c r="D832">
        <v>0</v>
      </c>
      <c r="E832">
        <v>8</v>
      </c>
      <c r="F832">
        <v>4.0999999999999996</v>
      </c>
      <c r="G832">
        <v>1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1</v>
      </c>
      <c r="P832">
        <v>0</v>
      </c>
      <c r="Q832">
        <v>22.133333329999999</v>
      </c>
    </row>
    <row r="833" spans="1:17" x14ac:dyDescent="0.25">
      <c r="A833">
        <v>65</v>
      </c>
      <c r="B833">
        <v>20</v>
      </c>
      <c r="C833">
        <v>1</v>
      </c>
      <c r="D833">
        <v>0</v>
      </c>
      <c r="E833">
        <v>6</v>
      </c>
      <c r="F833">
        <v>4.04</v>
      </c>
      <c r="G833">
        <v>0</v>
      </c>
      <c r="H833">
        <v>0</v>
      </c>
      <c r="I833">
        <v>1</v>
      </c>
      <c r="J833">
        <v>0</v>
      </c>
      <c r="K833">
        <v>0</v>
      </c>
      <c r="L833">
        <v>1</v>
      </c>
      <c r="M833">
        <v>1</v>
      </c>
      <c r="N833">
        <v>0</v>
      </c>
      <c r="O833">
        <v>1</v>
      </c>
      <c r="P833">
        <v>0</v>
      </c>
      <c r="Q833">
        <v>184.33333329999999</v>
      </c>
    </row>
    <row r="834" spans="1:17" x14ac:dyDescent="0.25">
      <c r="A834">
        <v>61</v>
      </c>
      <c r="B834">
        <v>35</v>
      </c>
      <c r="C834">
        <v>2</v>
      </c>
      <c r="D834">
        <v>0</v>
      </c>
      <c r="E834">
        <v>7</v>
      </c>
      <c r="F834">
        <v>4.07</v>
      </c>
      <c r="G834">
        <v>1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1</v>
      </c>
      <c r="P834">
        <v>0</v>
      </c>
      <c r="Q834">
        <v>77.466666669999995</v>
      </c>
    </row>
    <row r="835" spans="1:17" x14ac:dyDescent="0.25">
      <c r="A835">
        <v>42</v>
      </c>
      <c r="B835">
        <v>10</v>
      </c>
      <c r="C835">
        <v>1</v>
      </c>
      <c r="D835">
        <v>0</v>
      </c>
      <c r="E835">
        <v>13</v>
      </c>
      <c r="F835">
        <v>1.02</v>
      </c>
      <c r="G835">
        <v>1</v>
      </c>
      <c r="H835">
        <v>0</v>
      </c>
      <c r="I835">
        <v>0</v>
      </c>
      <c r="J835">
        <v>0</v>
      </c>
      <c r="K835">
        <v>0</v>
      </c>
      <c r="L835">
        <v>1</v>
      </c>
      <c r="M835">
        <v>1</v>
      </c>
      <c r="N835">
        <v>0</v>
      </c>
      <c r="O835">
        <v>0</v>
      </c>
      <c r="P835">
        <v>1</v>
      </c>
      <c r="Q835">
        <v>203.2666667</v>
      </c>
    </row>
    <row r="836" spans="1:17" x14ac:dyDescent="0.25">
      <c r="A836">
        <v>65</v>
      </c>
      <c r="B836">
        <v>25</v>
      </c>
      <c r="C836">
        <v>2</v>
      </c>
      <c r="D836">
        <v>1</v>
      </c>
      <c r="E836">
        <v>2</v>
      </c>
      <c r="F836">
        <v>5.05</v>
      </c>
      <c r="G836">
        <v>1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1</v>
      </c>
      <c r="P836">
        <v>0</v>
      </c>
      <c r="Q836">
        <v>19.399999999999999</v>
      </c>
    </row>
    <row r="837" spans="1:17" x14ac:dyDescent="0.25">
      <c r="A837">
        <v>69</v>
      </c>
      <c r="B837">
        <v>50</v>
      </c>
      <c r="C837">
        <v>2</v>
      </c>
      <c r="D837">
        <v>9</v>
      </c>
      <c r="E837">
        <v>4</v>
      </c>
      <c r="F837">
        <v>6.1</v>
      </c>
      <c r="G837">
        <v>1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1</v>
      </c>
      <c r="P837">
        <v>0</v>
      </c>
      <c r="Q837">
        <v>111.9666667</v>
      </c>
    </row>
    <row r="838" spans="1:17" x14ac:dyDescent="0.25">
      <c r="A838">
        <v>72</v>
      </c>
      <c r="B838">
        <v>15</v>
      </c>
      <c r="C838">
        <v>1</v>
      </c>
      <c r="D838">
        <v>0</v>
      </c>
      <c r="E838">
        <v>5</v>
      </c>
      <c r="F838">
        <v>4.03</v>
      </c>
      <c r="G838">
        <v>1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1</v>
      </c>
      <c r="P838">
        <v>1</v>
      </c>
      <c r="Q838">
        <v>196.8666667</v>
      </c>
    </row>
    <row r="839" spans="1:17" x14ac:dyDescent="0.25">
      <c r="A839">
        <v>52</v>
      </c>
      <c r="B839">
        <v>15</v>
      </c>
      <c r="C839">
        <v>1</v>
      </c>
      <c r="D839">
        <v>0</v>
      </c>
      <c r="E839">
        <v>13</v>
      </c>
      <c r="F839">
        <v>3.03</v>
      </c>
      <c r="G839">
        <v>1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94.033333330000005</v>
      </c>
    </row>
    <row r="840" spans="1:17" x14ac:dyDescent="0.25">
      <c r="A840">
        <v>62</v>
      </c>
      <c r="B840">
        <v>25</v>
      </c>
      <c r="C840">
        <v>2</v>
      </c>
      <c r="D840">
        <v>3</v>
      </c>
      <c r="E840">
        <v>1</v>
      </c>
      <c r="F840">
        <v>4.05</v>
      </c>
      <c r="G840">
        <v>1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1</v>
      </c>
      <c r="P840">
        <v>0</v>
      </c>
      <c r="Q840">
        <v>223.83333329999999</v>
      </c>
    </row>
    <row r="841" spans="1:17" x14ac:dyDescent="0.25">
      <c r="A841">
        <v>65</v>
      </c>
      <c r="B841">
        <v>15</v>
      </c>
      <c r="C841">
        <v>1</v>
      </c>
      <c r="D841">
        <v>0</v>
      </c>
      <c r="E841">
        <v>2</v>
      </c>
      <c r="F841">
        <v>4.03</v>
      </c>
      <c r="G841">
        <v>1</v>
      </c>
      <c r="H841">
        <v>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</v>
      </c>
      <c r="P841">
        <v>0</v>
      </c>
      <c r="Q841">
        <v>204.4</v>
      </c>
    </row>
    <row r="842" spans="1:17" x14ac:dyDescent="0.25">
      <c r="A842">
        <v>70</v>
      </c>
      <c r="B842">
        <v>15</v>
      </c>
      <c r="C842">
        <v>1</v>
      </c>
      <c r="D842">
        <v>0</v>
      </c>
      <c r="E842">
        <v>5</v>
      </c>
      <c r="F842">
        <v>4.03</v>
      </c>
      <c r="G842">
        <v>1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1</v>
      </c>
      <c r="P842">
        <v>1</v>
      </c>
      <c r="Q842">
        <v>52.3</v>
      </c>
    </row>
    <row r="843" spans="1:17" x14ac:dyDescent="0.25">
      <c r="A843">
        <v>50</v>
      </c>
      <c r="B843">
        <v>35</v>
      </c>
      <c r="C843">
        <v>2</v>
      </c>
      <c r="D843">
        <v>3</v>
      </c>
      <c r="E843">
        <v>9</v>
      </c>
      <c r="F843">
        <v>5.07</v>
      </c>
      <c r="G843">
        <v>1</v>
      </c>
      <c r="H843">
        <v>0</v>
      </c>
      <c r="I843">
        <v>0</v>
      </c>
      <c r="J843">
        <v>0</v>
      </c>
      <c r="K843">
        <v>0</v>
      </c>
      <c r="L843">
        <v>1</v>
      </c>
      <c r="M843">
        <v>1</v>
      </c>
      <c r="N843">
        <v>1</v>
      </c>
      <c r="O843">
        <v>1</v>
      </c>
      <c r="P843">
        <v>1</v>
      </c>
      <c r="Q843">
        <v>185.3</v>
      </c>
    </row>
    <row r="844" spans="1:17" x14ac:dyDescent="0.25">
      <c r="A844">
        <v>67</v>
      </c>
      <c r="B844">
        <v>15</v>
      </c>
      <c r="C844">
        <v>1</v>
      </c>
      <c r="D844">
        <v>0</v>
      </c>
      <c r="E844">
        <v>3</v>
      </c>
      <c r="F844">
        <v>3.03</v>
      </c>
      <c r="G844">
        <v>0</v>
      </c>
      <c r="H844">
        <v>1</v>
      </c>
      <c r="I844">
        <v>0</v>
      </c>
      <c r="J844">
        <v>0</v>
      </c>
      <c r="K844">
        <v>0</v>
      </c>
      <c r="L844">
        <v>1</v>
      </c>
      <c r="M844">
        <v>1</v>
      </c>
      <c r="N844">
        <v>0</v>
      </c>
      <c r="O844">
        <v>0</v>
      </c>
      <c r="P844">
        <v>0</v>
      </c>
      <c r="Q844">
        <v>205.7333333</v>
      </c>
    </row>
    <row r="845" spans="1:17" x14ac:dyDescent="0.25">
      <c r="A845">
        <v>52</v>
      </c>
      <c r="B845">
        <v>27</v>
      </c>
      <c r="C845">
        <v>2</v>
      </c>
      <c r="D845">
        <v>0</v>
      </c>
      <c r="E845">
        <v>7</v>
      </c>
      <c r="F845">
        <v>4.0539999999999896</v>
      </c>
      <c r="G845">
        <v>1</v>
      </c>
      <c r="H845">
        <v>0</v>
      </c>
      <c r="I845">
        <v>0</v>
      </c>
      <c r="J845">
        <v>0</v>
      </c>
      <c r="K845">
        <v>0</v>
      </c>
      <c r="L845">
        <v>1</v>
      </c>
      <c r="M845">
        <v>1</v>
      </c>
      <c r="N845">
        <v>0</v>
      </c>
      <c r="O845">
        <v>0</v>
      </c>
      <c r="P845">
        <v>0</v>
      </c>
      <c r="Q845">
        <v>151.9</v>
      </c>
    </row>
    <row r="846" spans="1:17" x14ac:dyDescent="0.25">
      <c r="A846">
        <v>74</v>
      </c>
      <c r="B846">
        <v>25</v>
      </c>
      <c r="C846">
        <v>3</v>
      </c>
      <c r="D846">
        <v>12</v>
      </c>
      <c r="E846">
        <v>9</v>
      </c>
      <c r="F846">
        <v>6.05</v>
      </c>
      <c r="G846">
        <v>1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1</v>
      </c>
      <c r="O846">
        <v>1</v>
      </c>
      <c r="P846">
        <v>1</v>
      </c>
      <c r="Q846">
        <v>43.4</v>
      </c>
    </row>
    <row r="847" spans="1:17" x14ac:dyDescent="0.25">
      <c r="A847">
        <v>42</v>
      </c>
      <c r="B847">
        <v>10</v>
      </c>
      <c r="C847">
        <v>1</v>
      </c>
      <c r="D847">
        <v>0</v>
      </c>
      <c r="E847">
        <v>5</v>
      </c>
      <c r="F847">
        <v>4.0199999999999996</v>
      </c>
      <c r="G847">
        <v>1</v>
      </c>
      <c r="H847">
        <v>0</v>
      </c>
      <c r="I847">
        <v>0</v>
      </c>
      <c r="J847">
        <v>0</v>
      </c>
      <c r="K847">
        <v>0</v>
      </c>
      <c r="L847">
        <v>1</v>
      </c>
      <c r="M847">
        <v>1</v>
      </c>
      <c r="N847">
        <v>0</v>
      </c>
      <c r="O847">
        <v>0</v>
      </c>
      <c r="P847">
        <v>1</v>
      </c>
      <c r="Q847">
        <v>254.96666669999999</v>
      </c>
    </row>
    <row r="848" spans="1:17" x14ac:dyDescent="0.25">
      <c r="A848">
        <v>42</v>
      </c>
      <c r="B848">
        <v>22</v>
      </c>
      <c r="C848">
        <v>2</v>
      </c>
      <c r="D848">
        <v>2</v>
      </c>
      <c r="E848">
        <v>2</v>
      </c>
      <c r="F848">
        <v>4.0439999999999996</v>
      </c>
      <c r="G848">
        <v>1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</v>
      </c>
      <c r="O848">
        <v>0</v>
      </c>
      <c r="P848">
        <v>1</v>
      </c>
      <c r="Q848">
        <v>144.66666669999901</v>
      </c>
    </row>
    <row r="849" spans="1:17" x14ac:dyDescent="0.25">
      <c r="A849">
        <v>90</v>
      </c>
      <c r="B849">
        <v>20</v>
      </c>
      <c r="C849">
        <v>2</v>
      </c>
      <c r="D849">
        <v>1</v>
      </c>
      <c r="E849">
        <v>9</v>
      </c>
      <c r="F849">
        <v>5.04</v>
      </c>
      <c r="G849">
        <v>1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0</v>
      </c>
      <c r="O849">
        <v>1</v>
      </c>
      <c r="P849">
        <v>0</v>
      </c>
      <c r="Q849">
        <v>99.4</v>
      </c>
    </row>
    <row r="850" spans="1:17" x14ac:dyDescent="0.25">
      <c r="A850">
        <v>68</v>
      </c>
      <c r="B850">
        <v>30</v>
      </c>
      <c r="C850">
        <v>2</v>
      </c>
      <c r="D850">
        <v>0</v>
      </c>
      <c r="E850">
        <v>10</v>
      </c>
      <c r="F850">
        <v>4.0599999999999996</v>
      </c>
      <c r="G850">
        <v>1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0</v>
      </c>
      <c r="O850">
        <v>1</v>
      </c>
      <c r="P850">
        <v>1</v>
      </c>
      <c r="Q850">
        <v>43.266666669999999</v>
      </c>
    </row>
    <row r="851" spans="1:17" x14ac:dyDescent="0.25">
      <c r="A851">
        <v>75</v>
      </c>
      <c r="B851">
        <v>15</v>
      </c>
      <c r="C851">
        <v>1</v>
      </c>
      <c r="D851">
        <v>0</v>
      </c>
      <c r="E851">
        <v>5</v>
      </c>
      <c r="F851">
        <v>4.03</v>
      </c>
      <c r="G851">
        <v>1</v>
      </c>
      <c r="H851">
        <v>0</v>
      </c>
      <c r="I851">
        <v>0</v>
      </c>
      <c r="J851">
        <v>0</v>
      </c>
      <c r="K851">
        <v>0</v>
      </c>
      <c r="L851">
        <v>1</v>
      </c>
      <c r="M851">
        <v>1</v>
      </c>
      <c r="N851">
        <v>0</v>
      </c>
      <c r="O851">
        <v>0</v>
      </c>
      <c r="P851">
        <v>1</v>
      </c>
      <c r="Q851">
        <v>200.6</v>
      </c>
    </row>
    <row r="852" spans="1:17" x14ac:dyDescent="0.25">
      <c r="A852">
        <v>39</v>
      </c>
      <c r="B852">
        <v>25</v>
      </c>
      <c r="C852">
        <v>2</v>
      </c>
      <c r="D852">
        <v>1</v>
      </c>
      <c r="E852">
        <v>8</v>
      </c>
      <c r="F852">
        <v>5.05</v>
      </c>
      <c r="G852">
        <v>1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1</v>
      </c>
      <c r="O852">
        <v>0</v>
      </c>
      <c r="P852">
        <v>0</v>
      </c>
      <c r="Q852">
        <v>33.966666670000002</v>
      </c>
    </row>
    <row r="853" spans="1:17" x14ac:dyDescent="0.25">
      <c r="A853">
        <v>48</v>
      </c>
      <c r="B853">
        <v>15</v>
      </c>
      <c r="C853">
        <v>1</v>
      </c>
      <c r="D853">
        <v>0</v>
      </c>
      <c r="E853">
        <v>6</v>
      </c>
      <c r="F853">
        <v>3.03</v>
      </c>
      <c r="G853">
        <v>0</v>
      </c>
      <c r="H853">
        <v>0</v>
      </c>
      <c r="I853">
        <v>0</v>
      </c>
      <c r="J853">
        <v>1</v>
      </c>
      <c r="K853">
        <v>0</v>
      </c>
      <c r="L853">
        <v>1</v>
      </c>
      <c r="M853">
        <v>1</v>
      </c>
      <c r="N853">
        <v>0</v>
      </c>
      <c r="O853">
        <v>0</v>
      </c>
      <c r="P853">
        <v>1</v>
      </c>
      <c r="Q853">
        <v>176.5</v>
      </c>
    </row>
    <row r="854" spans="1:17" x14ac:dyDescent="0.25">
      <c r="A854">
        <v>61</v>
      </c>
      <c r="B854">
        <v>25</v>
      </c>
      <c r="C854">
        <v>2</v>
      </c>
      <c r="D854">
        <v>0</v>
      </c>
      <c r="E854">
        <v>5</v>
      </c>
      <c r="F854">
        <v>3.05</v>
      </c>
      <c r="G854">
        <v>1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1</v>
      </c>
      <c r="P854">
        <v>0</v>
      </c>
      <c r="Q854">
        <v>16.56666667</v>
      </c>
    </row>
    <row r="855" spans="1:17" x14ac:dyDescent="0.25">
      <c r="A855">
        <v>59</v>
      </c>
      <c r="B855">
        <v>6</v>
      </c>
      <c r="C855">
        <v>1</v>
      </c>
      <c r="D855">
        <v>0</v>
      </c>
      <c r="E855">
        <v>13</v>
      </c>
      <c r="F855">
        <v>3.012</v>
      </c>
      <c r="G855">
        <v>1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1</v>
      </c>
      <c r="Q855">
        <v>204.2</v>
      </c>
    </row>
    <row r="856" spans="1:17" x14ac:dyDescent="0.25">
      <c r="A856">
        <v>63</v>
      </c>
      <c r="B856">
        <v>65</v>
      </c>
      <c r="C856">
        <v>3</v>
      </c>
      <c r="D856">
        <v>3</v>
      </c>
      <c r="E856">
        <v>5</v>
      </c>
      <c r="F856">
        <v>5.13</v>
      </c>
      <c r="G856">
        <v>1</v>
      </c>
      <c r="H856">
        <v>0</v>
      </c>
      <c r="I856">
        <v>0</v>
      </c>
      <c r="J856">
        <v>0</v>
      </c>
      <c r="K856">
        <v>0</v>
      </c>
      <c r="L856">
        <v>1</v>
      </c>
      <c r="M856">
        <v>1</v>
      </c>
      <c r="N856">
        <v>1</v>
      </c>
      <c r="O856">
        <v>1</v>
      </c>
      <c r="P856">
        <v>1</v>
      </c>
      <c r="Q856">
        <v>166.66666669999901</v>
      </c>
    </row>
    <row r="857" spans="1:17" x14ac:dyDescent="0.25">
      <c r="A857">
        <v>46</v>
      </c>
      <c r="B857">
        <v>20</v>
      </c>
      <c r="C857">
        <v>2</v>
      </c>
      <c r="D857">
        <v>2</v>
      </c>
      <c r="E857">
        <v>4</v>
      </c>
      <c r="F857">
        <v>5.04</v>
      </c>
      <c r="G857">
        <v>1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1</v>
      </c>
      <c r="O857">
        <v>0</v>
      </c>
      <c r="P857">
        <v>1</v>
      </c>
      <c r="Q857">
        <v>44.133333329999999</v>
      </c>
    </row>
    <row r="858" spans="1:17" x14ac:dyDescent="0.25">
      <c r="A858">
        <v>69</v>
      </c>
      <c r="B858">
        <v>15</v>
      </c>
      <c r="C858">
        <v>1</v>
      </c>
      <c r="D858">
        <v>0</v>
      </c>
      <c r="E858">
        <v>1</v>
      </c>
      <c r="F858">
        <v>3.03</v>
      </c>
      <c r="G858">
        <v>0</v>
      </c>
      <c r="H858">
        <v>1</v>
      </c>
      <c r="I858">
        <v>0</v>
      </c>
      <c r="J858">
        <v>0</v>
      </c>
      <c r="K858">
        <v>0</v>
      </c>
      <c r="L858">
        <v>1</v>
      </c>
      <c r="M858">
        <v>1</v>
      </c>
      <c r="N858">
        <v>0</v>
      </c>
      <c r="O858">
        <v>0</v>
      </c>
      <c r="P858">
        <v>0</v>
      </c>
      <c r="Q858">
        <v>192.1333333</v>
      </c>
    </row>
    <row r="859" spans="1:17" x14ac:dyDescent="0.25">
      <c r="A859">
        <v>69</v>
      </c>
      <c r="B859">
        <v>40</v>
      </c>
      <c r="C859">
        <v>2</v>
      </c>
      <c r="D859">
        <v>0</v>
      </c>
      <c r="E859">
        <v>5</v>
      </c>
      <c r="F859">
        <v>4.08</v>
      </c>
      <c r="G859">
        <v>1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1</v>
      </c>
      <c r="P859">
        <v>0</v>
      </c>
      <c r="Q859">
        <v>216.8666667</v>
      </c>
    </row>
    <row r="860" spans="1:17" x14ac:dyDescent="0.25">
      <c r="A860">
        <v>76</v>
      </c>
      <c r="B860">
        <v>20</v>
      </c>
      <c r="C860">
        <v>2</v>
      </c>
      <c r="D860">
        <v>1</v>
      </c>
      <c r="E860">
        <v>2</v>
      </c>
      <c r="F860">
        <v>2.04</v>
      </c>
      <c r="G860">
        <v>1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1</v>
      </c>
      <c r="P860">
        <v>0</v>
      </c>
      <c r="Q860">
        <v>112.4666667</v>
      </c>
    </row>
    <row r="861" spans="1:17" x14ac:dyDescent="0.25">
      <c r="A861">
        <v>70</v>
      </c>
      <c r="B861">
        <v>23</v>
      </c>
      <c r="C861">
        <v>2</v>
      </c>
      <c r="D861">
        <v>3</v>
      </c>
      <c r="E861">
        <v>4</v>
      </c>
      <c r="F861">
        <v>4.0460000000000003</v>
      </c>
      <c r="G861">
        <v>1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1</v>
      </c>
      <c r="P861">
        <v>1</v>
      </c>
      <c r="Q861">
        <v>108.0666667</v>
      </c>
    </row>
    <row r="862" spans="1:17" x14ac:dyDescent="0.25">
      <c r="A862">
        <v>41</v>
      </c>
      <c r="B862">
        <v>35</v>
      </c>
      <c r="C862">
        <v>2</v>
      </c>
      <c r="D862">
        <v>1</v>
      </c>
      <c r="E862">
        <v>10</v>
      </c>
      <c r="F862">
        <v>5.07</v>
      </c>
      <c r="G862">
        <v>1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1</v>
      </c>
      <c r="O862">
        <v>0</v>
      </c>
      <c r="P862">
        <v>1</v>
      </c>
      <c r="Q862">
        <v>46.166666669999998</v>
      </c>
    </row>
    <row r="863" spans="1:17" x14ac:dyDescent="0.25">
      <c r="A863">
        <v>46</v>
      </c>
      <c r="B863">
        <v>18</v>
      </c>
      <c r="C863">
        <v>1</v>
      </c>
      <c r="D863">
        <v>0</v>
      </c>
      <c r="E863">
        <v>7</v>
      </c>
      <c r="F863">
        <v>4.0359999999999996</v>
      </c>
      <c r="G863">
        <v>1</v>
      </c>
      <c r="H863">
        <v>0</v>
      </c>
      <c r="I863">
        <v>0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0</v>
      </c>
      <c r="P863">
        <v>1</v>
      </c>
      <c r="Q863">
        <v>199.3</v>
      </c>
    </row>
    <row r="864" spans="1:17" x14ac:dyDescent="0.25">
      <c r="A864">
        <v>52</v>
      </c>
      <c r="B864">
        <v>15</v>
      </c>
      <c r="C864">
        <v>1</v>
      </c>
      <c r="D864">
        <v>0</v>
      </c>
      <c r="E864">
        <v>6</v>
      </c>
      <c r="F864">
        <v>3.03</v>
      </c>
      <c r="G864">
        <v>1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1</v>
      </c>
      <c r="Q864">
        <v>71.066666670000004</v>
      </c>
    </row>
    <row r="865" spans="1:17" x14ac:dyDescent="0.25">
      <c r="A865">
        <v>47</v>
      </c>
      <c r="B865">
        <v>30</v>
      </c>
      <c r="C865">
        <v>2</v>
      </c>
      <c r="D865">
        <v>0</v>
      </c>
      <c r="E865">
        <v>4</v>
      </c>
      <c r="F865">
        <v>3.06</v>
      </c>
      <c r="G865">
        <v>0</v>
      </c>
      <c r="H865">
        <v>1</v>
      </c>
      <c r="I865">
        <v>0</v>
      </c>
      <c r="J865">
        <v>0</v>
      </c>
      <c r="K865">
        <v>0</v>
      </c>
      <c r="L865">
        <v>1</v>
      </c>
      <c r="M865">
        <v>1</v>
      </c>
      <c r="N865">
        <v>0</v>
      </c>
      <c r="O865">
        <v>0</v>
      </c>
      <c r="P865">
        <v>1</v>
      </c>
      <c r="Q865">
        <v>186.1333333</v>
      </c>
    </row>
    <row r="866" spans="1:17" x14ac:dyDescent="0.25">
      <c r="A866">
        <v>58</v>
      </c>
      <c r="B866">
        <v>40</v>
      </c>
      <c r="C866">
        <v>2</v>
      </c>
      <c r="D866">
        <v>0</v>
      </c>
      <c r="E866">
        <v>10</v>
      </c>
      <c r="F866">
        <v>3.08</v>
      </c>
      <c r="G866">
        <v>1</v>
      </c>
      <c r="H866">
        <v>0</v>
      </c>
      <c r="I866">
        <v>0</v>
      </c>
      <c r="J866">
        <v>0</v>
      </c>
      <c r="K866">
        <v>0</v>
      </c>
      <c r="L866">
        <v>1</v>
      </c>
      <c r="M866">
        <v>1</v>
      </c>
      <c r="N866">
        <v>0</v>
      </c>
      <c r="O866">
        <v>1</v>
      </c>
      <c r="P866">
        <v>0</v>
      </c>
      <c r="Q866">
        <v>167.5</v>
      </c>
    </row>
    <row r="867" spans="1:17" x14ac:dyDescent="0.25">
      <c r="A867">
        <v>40</v>
      </c>
      <c r="B867">
        <v>20</v>
      </c>
      <c r="C867">
        <v>1</v>
      </c>
      <c r="D867">
        <v>0</v>
      </c>
      <c r="E867">
        <v>10</v>
      </c>
      <c r="F867">
        <v>4.04</v>
      </c>
      <c r="G867">
        <v>1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1</v>
      </c>
      <c r="Q867">
        <v>201.93333329999999</v>
      </c>
    </row>
    <row r="868" spans="1:17" x14ac:dyDescent="0.25">
      <c r="A868">
        <v>60</v>
      </c>
      <c r="B868">
        <v>20</v>
      </c>
      <c r="C868">
        <v>1</v>
      </c>
      <c r="D868">
        <v>0</v>
      </c>
      <c r="E868">
        <v>2</v>
      </c>
      <c r="F868">
        <v>4.04</v>
      </c>
      <c r="G868">
        <v>1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1</v>
      </c>
      <c r="P868">
        <v>0</v>
      </c>
      <c r="Q868">
        <v>60.866666670000001</v>
      </c>
    </row>
    <row r="869" spans="1:17" x14ac:dyDescent="0.25">
      <c r="A869">
        <v>47</v>
      </c>
      <c r="B869">
        <v>20</v>
      </c>
      <c r="C869">
        <v>1</v>
      </c>
      <c r="D869">
        <v>0</v>
      </c>
      <c r="E869">
        <v>2</v>
      </c>
      <c r="F869">
        <v>1.04</v>
      </c>
      <c r="G869">
        <v>0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99.966666669999995</v>
      </c>
    </row>
    <row r="870" spans="1:17" x14ac:dyDescent="0.25">
      <c r="A870">
        <v>55</v>
      </c>
      <c r="B870">
        <v>15</v>
      </c>
      <c r="C870">
        <v>1</v>
      </c>
      <c r="D870">
        <v>0</v>
      </c>
      <c r="E870">
        <v>7</v>
      </c>
      <c r="F870">
        <v>4.03</v>
      </c>
      <c r="G870">
        <v>1</v>
      </c>
      <c r="H870">
        <v>0</v>
      </c>
      <c r="I870">
        <v>0</v>
      </c>
      <c r="J870">
        <v>0</v>
      </c>
      <c r="K870">
        <v>0</v>
      </c>
      <c r="L870">
        <v>1</v>
      </c>
      <c r="M870">
        <v>1</v>
      </c>
      <c r="N870">
        <v>0</v>
      </c>
      <c r="O870">
        <v>0</v>
      </c>
      <c r="P870">
        <v>1</v>
      </c>
      <c r="Q870">
        <v>79.3</v>
      </c>
    </row>
    <row r="871" spans="1:17" x14ac:dyDescent="0.25">
      <c r="A871">
        <v>67</v>
      </c>
      <c r="B871">
        <v>15</v>
      </c>
      <c r="C871">
        <v>1</v>
      </c>
      <c r="D871">
        <v>0</v>
      </c>
      <c r="E871">
        <v>4</v>
      </c>
      <c r="F871">
        <v>3.03</v>
      </c>
      <c r="G871">
        <v>1</v>
      </c>
      <c r="H871">
        <v>0</v>
      </c>
      <c r="I871">
        <v>0</v>
      </c>
      <c r="J871">
        <v>0</v>
      </c>
      <c r="K871">
        <v>0</v>
      </c>
      <c r="L871">
        <v>1</v>
      </c>
      <c r="M871">
        <v>1</v>
      </c>
      <c r="N871">
        <v>0</v>
      </c>
      <c r="O871">
        <v>1</v>
      </c>
      <c r="P871">
        <v>1</v>
      </c>
      <c r="Q871">
        <v>153.53333330000001</v>
      </c>
    </row>
    <row r="872" spans="1:17" x14ac:dyDescent="0.25">
      <c r="A872">
        <v>70</v>
      </c>
      <c r="B872">
        <v>30</v>
      </c>
      <c r="C872">
        <v>2</v>
      </c>
      <c r="D872">
        <v>0</v>
      </c>
      <c r="E872">
        <v>10</v>
      </c>
      <c r="F872">
        <v>3.06</v>
      </c>
      <c r="G872">
        <v>0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1</v>
      </c>
      <c r="Q872">
        <v>208.96666669999999</v>
      </c>
    </row>
    <row r="873" spans="1:17" x14ac:dyDescent="0.25">
      <c r="A873">
        <v>31</v>
      </c>
      <c r="B873">
        <v>99</v>
      </c>
      <c r="C873">
        <v>3</v>
      </c>
      <c r="D873">
        <v>14</v>
      </c>
      <c r="E873">
        <v>5</v>
      </c>
      <c r="F873">
        <v>6.1979999999999897</v>
      </c>
      <c r="G873">
        <v>1</v>
      </c>
      <c r="H873">
        <v>0</v>
      </c>
      <c r="I873">
        <v>0</v>
      </c>
      <c r="J873">
        <v>0</v>
      </c>
      <c r="K873">
        <v>0</v>
      </c>
      <c r="L873">
        <v>1</v>
      </c>
      <c r="M873">
        <v>1</v>
      </c>
      <c r="N873">
        <v>1</v>
      </c>
      <c r="O873">
        <v>1</v>
      </c>
      <c r="P873">
        <v>1</v>
      </c>
      <c r="Q873">
        <v>195.93333329999999</v>
      </c>
    </row>
    <row r="874" spans="1:17" x14ac:dyDescent="0.25">
      <c r="A874">
        <v>78</v>
      </c>
      <c r="B874">
        <v>40</v>
      </c>
      <c r="C874">
        <v>3</v>
      </c>
      <c r="D874">
        <v>6</v>
      </c>
      <c r="E874">
        <v>7</v>
      </c>
      <c r="F874">
        <v>6.08</v>
      </c>
      <c r="G874">
        <v>1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1</v>
      </c>
      <c r="P874">
        <v>1</v>
      </c>
      <c r="Q874">
        <v>13.8</v>
      </c>
    </row>
    <row r="875" spans="1:17" x14ac:dyDescent="0.25">
      <c r="A875">
        <v>49</v>
      </c>
      <c r="B875">
        <v>23</v>
      </c>
      <c r="C875">
        <v>2</v>
      </c>
      <c r="D875">
        <v>5</v>
      </c>
      <c r="E875">
        <v>3</v>
      </c>
      <c r="F875">
        <v>6.0460000000000003</v>
      </c>
      <c r="G875">
        <v>0</v>
      </c>
      <c r="H875">
        <v>0</v>
      </c>
      <c r="I875">
        <v>1</v>
      </c>
      <c r="J875">
        <v>0</v>
      </c>
      <c r="K875">
        <v>0</v>
      </c>
      <c r="L875">
        <v>0</v>
      </c>
      <c r="M875">
        <v>1</v>
      </c>
      <c r="N875">
        <v>1</v>
      </c>
      <c r="O875">
        <v>0</v>
      </c>
      <c r="P875">
        <v>0</v>
      </c>
      <c r="Q875">
        <v>84.9</v>
      </c>
    </row>
    <row r="876" spans="1:17" x14ac:dyDescent="0.25">
      <c r="A876">
        <v>53</v>
      </c>
      <c r="B876">
        <v>40</v>
      </c>
      <c r="C876">
        <v>2</v>
      </c>
      <c r="D876">
        <v>2</v>
      </c>
      <c r="E876">
        <v>8</v>
      </c>
      <c r="F876">
        <v>5.08</v>
      </c>
      <c r="G876">
        <v>0</v>
      </c>
      <c r="H876">
        <v>0</v>
      </c>
      <c r="I876">
        <v>1</v>
      </c>
      <c r="J876">
        <v>0</v>
      </c>
      <c r="K876">
        <v>0</v>
      </c>
      <c r="L876">
        <v>0</v>
      </c>
      <c r="M876">
        <v>1</v>
      </c>
      <c r="N876">
        <v>1</v>
      </c>
      <c r="O876">
        <v>1</v>
      </c>
      <c r="P876">
        <v>0</v>
      </c>
      <c r="Q876">
        <v>16.7</v>
      </c>
    </row>
    <row r="877" spans="1:17" x14ac:dyDescent="0.25">
      <c r="A877">
        <v>55</v>
      </c>
      <c r="B877">
        <v>15</v>
      </c>
      <c r="C877">
        <v>1</v>
      </c>
      <c r="D877">
        <v>0</v>
      </c>
      <c r="E877">
        <v>7</v>
      </c>
      <c r="F877">
        <v>2.0299999999999998</v>
      </c>
      <c r="G877">
        <v>1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1</v>
      </c>
      <c r="N877">
        <v>0</v>
      </c>
      <c r="O877">
        <v>0</v>
      </c>
      <c r="P877">
        <v>1</v>
      </c>
      <c r="Q877">
        <v>190.16666669999901</v>
      </c>
    </row>
    <row r="878" spans="1:17" x14ac:dyDescent="0.25">
      <c r="A878">
        <v>61</v>
      </c>
      <c r="B878">
        <v>30</v>
      </c>
      <c r="C878">
        <v>2</v>
      </c>
      <c r="D878">
        <v>1</v>
      </c>
      <c r="E878">
        <v>4</v>
      </c>
      <c r="F878">
        <v>4.0599999999999996</v>
      </c>
      <c r="G878">
        <v>0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1</v>
      </c>
      <c r="P878">
        <v>0</v>
      </c>
      <c r="Q878">
        <v>149.43333329999999</v>
      </c>
    </row>
    <row r="879" spans="1:17" x14ac:dyDescent="0.25">
      <c r="A879">
        <v>58</v>
      </c>
      <c r="B879">
        <v>15</v>
      </c>
      <c r="C879">
        <v>1</v>
      </c>
      <c r="D879">
        <v>0</v>
      </c>
      <c r="E879">
        <v>7</v>
      </c>
      <c r="F879">
        <v>4.03</v>
      </c>
      <c r="G879">
        <v>1</v>
      </c>
      <c r="H879">
        <v>0</v>
      </c>
      <c r="I879">
        <v>0</v>
      </c>
      <c r="J879">
        <v>0</v>
      </c>
      <c r="K879">
        <v>0</v>
      </c>
      <c r="L879">
        <v>1</v>
      </c>
      <c r="M879">
        <v>1</v>
      </c>
      <c r="N879">
        <v>0</v>
      </c>
      <c r="O879">
        <v>0</v>
      </c>
      <c r="P879">
        <v>0</v>
      </c>
      <c r="Q879">
        <v>159.7333333</v>
      </c>
    </row>
    <row r="880" spans="1:17" x14ac:dyDescent="0.25">
      <c r="A880">
        <v>67</v>
      </c>
      <c r="B880">
        <v>25</v>
      </c>
      <c r="C880">
        <v>2</v>
      </c>
      <c r="D880">
        <v>0</v>
      </c>
      <c r="E880">
        <v>5</v>
      </c>
      <c r="F880">
        <v>4.05</v>
      </c>
      <c r="G880">
        <v>1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0</v>
      </c>
      <c r="O880">
        <v>1</v>
      </c>
      <c r="P880">
        <v>1</v>
      </c>
      <c r="Q880">
        <v>104.7666667</v>
      </c>
    </row>
    <row r="881" spans="1:17" x14ac:dyDescent="0.25">
      <c r="A881">
        <v>73</v>
      </c>
      <c r="B881">
        <v>27</v>
      </c>
      <c r="C881">
        <v>2</v>
      </c>
      <c r="D881">
        <v>0</v>
      </c>
      <c r="E881">
        <v>8</v>
      </c>
      <c r="F881">
        <v>3.0539999999999998</v>
      </c>
      <c r="G881">
        <v>1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0</v>
      </c>
      <c r="O881">
        <v>1</v>
      </c>
      <c r="P881">
        <v>1</v>
      </c>
      <c r="Q881">
        <v>57.666666669999998</v>
      </c>
    </row>
    <row r="882" spans="1:17" x14ac:dyDescent="0.25">
      <c r="A882">
        <v>50</v>
      </c>
      <c r="B882">
        <v>60</v>
      </c>
      <c r="C882">
        <v>3</v>
      </c>
      <c r="D882">
        <v>6</v>
      </c>
      <c r="E882">
        <v>2</v>
      </c>
      <c r="F882">
        <v>6.12</v>
      </c>
      <c r="G882">
        <v>1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1</v>
      </c>
      <c r="O882">
        <v>0</v>
      </c>
      <c r="P882">
        <v>0</v>
      </c>
      <c r="Q882">
        <v>37.9</v>
      </c>
    </row>
    <row r="883" spans="1:17" x14ac:dyDescent="0.25">
      <c r="A883">
        <v>79</v>
      </c>
      <c r="B883">
        <v>30</v>
      </c>
      <c r="C883">
        <v>2</v>
      </c>
      <c r="D883">
        <v>14</v>
      </c>
      <c r="E883">
        <v>5</v>
      </c>
      <c r="F883">
        <v>3.06</v>
      </c>
      <c r="G883">
        <v>0</v>
      </c>
      <c r="H883">
        <v>0</v>
      </c>
      <c r="I883">
        <v>1</v>
      </c>
      <c r="J883">
        <v>0</v>
      </c>
      <c r="K883">
        <v>0</v>
      </c>
      <c r="L883">
        <v>0</v>
      </c>
      <c r="M883">
        <v>1</v>
      </c>
      <c r="N883">
        <v>0</v>
      </c>
      <c r="O883">
        <v>1</v>
      </c>
      <c r="P883">
        <v>0</v>
      </c>
      <c r="Q883">
        <v>46.533333329999998</v>
      </c>
    </row>
    <row r="884" spans="1:17" x14ac:dyDescent="0.25">
      <c r="A884">
        <v>52</v>
      </c>
      <c r="B884">
        <v>80</v>
      </c>
      <c r="C884">
        <v>3</v>
      </c>
      <c r="D884">
        <v>16</v>
      </c>
      <c r="E884">
        <v>6</v>
      </c>
      <c r="F884">
        <v>6.16</v>
      </c>
      <c r="G884">
        <v>1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1</v>
      </c>
      <c r="O884">
        <v>1</v>
      </c>
      <c r="P884">
        <v>1</v>
      </c>
      <c r="Q884">
        <v>43.033333329999998</v>
      </c>
    </row>
    <row r="885" spans="1:17" x14ac:dyDescent="0.25">
      <c r="A885">
        <v>69</v>
      </c>
      <c r="B885">
        <v>15</v>
      </c>
      <c r="C885">
        <v>2</v>
      </c>
      <c r="D885">
        <v>1</v>
      </c>
      <c r="E885">
        <v>6</v>
      </c>
      <c r="F885">
        <v>4.03</v>
      </c>
      <c r="G885">
        <v>0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1</v>
      </c>
      <c r="P885">
        <v>1</v>
      </c>
      <c r="Q885">
        <v>53.633333329999999</v>
      </c>
    </row>
    <row r="886" spans="1:17" x14ac:dyDescent="0.25">
      <c r="A886">
        <v>60</v>
      </c>
      <c r="B886">
        <v>18</v>
      </c>
      <c r="C886">
        <v>1</v>
      </c>
      <c r="D886">
        <v>0</v>
      </c>
      <c r="E886">
        <v>2</v>
      </c>
      <c r="F886">
        <v>4.0359999999999996</v>
      </c>
      <c r="G886">
        <v>1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0</v>
      </c>
      <c r="O886">
        <v>0</v>
      </c>
      <c r="P886">
        <v>1</v>
      </c>
      <c r="Q886">
        <v>14.16666667</v>
      </c>
    </row>
    <row r="887" spans="1:17" x14ac:dyDescent="0.25">
      <c r="A887">
        <v>66</v>
      </c>
      <c r="B887">
        <v>23</v>
      </c>
      <c r="C887">
        <v>2</v>
      </c>
      <c r="D887">
        <v>1</v>
      </c>
      <c r="E887">
        <v>7</v>
      </c>
      <c r="F887">
        <v>4.0460000000000003</v>
      </c>
      <c r="G887">
        <v>0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0</v>
      </c>
      <c r="O887">
        <v>1</v>
      </c>
      <c r="P887">
        <v>1</v>
      </c>
      <c r="Q887">
        <v>102.3</v>
      </c>
    </row>
    <row r="888" spans="1:17" x14ac:dyDescent="0.25">
      <c r="A888">
        <v>31</v>
      </c>
      <c r="B888">
        <v>15</v>
      </c>
      <c r="C888">
        <v>1</v>
      </c>
      <c r="D888">
        <v>0</v>
      </c>
      <c r="E888">
        <v>3</v>
      </c>
      <c r="F888">
        <v>4.03</v>
      </c>
      <c r="G888">
        <v>1</v>
      </c>
      <c r="H888">
        <v>0</v>
      </c>
      <c r="I888">
        <v>0</v>
      </c>
      <c r="J888">
        <v>0</v>
      </c>
      <c r="K888">
        <v>0</v>
      </c>
      <c r="L888">
        <v>1</v>
      </c>
      <c r="M888">
        <v>1</v>
      </c>
      <c r="N888">
        <v>0</v>
      </c>
      <c r="O888">
        <v>0</v>
      </c>
      <c r="P888">
        <v>0</v>
      </c>
      <c r="Q888">
        <v>226.06666669999899</v>
      </c>
    </row>
    <row r="889" spans="1:17" x14ac:dyDescent="0.25">
      <c r="A889">
        <v>66</v>
      </c>
      <c r="B889">
        <v>25</v>
      </c>
      <c r="C889">
        <v>2</v>
      </c>
      <c r="D889">
        <v>0</v>
      </c>
      <c r="E889">
        <v>7</v>
      </c>
      <c r="F889">
        <v>3.05</v>
      </c>
      <c r="G889">
        <v>0</v>
      </c>
      <c r="H889">
        <v>0</v>
      </c>
      <c r="I889">
        <v>1</v>
      </c>
      <c r="J889">
        <v>0</v>
      </c>
      <c r="K889">
        <v>0</v>
      </c>
      <c r="L889">
        <v>1</v>
      </c>
      <c r="M889">
        <v>1</v>
      </c>
      <c r="N889">
        <v>0</v>
      </c>
      <c r="O889">
        <v>1</v>
      </c>
      <c r="P889">
        <v>1</v>
      </c>
      <c r="Q889">
        <v>163.53333330000001</v>
      </c>
    </row>
    <row r="890" spans="1:17" x14ac:dyDescent="0.25">
      <c r="A890">
        <v>64</v>
      </c>
      <c r="B890">
        <v>65</v>
      </c>
      <c r="C890">
        <v>3</v>
      </c>
      <c r="D890">
        <v>13</v>
      </c>
      <c r="E890">
        <v>14</v>
      </c>
      <c r="F890">
        <v>6.13</v>
      </c>
      <c r="G890">
        <v>0</v>
      </c>
      <c r="H890">
        <v>0</v>
      </c>
      <c r="I890">
        <v>1</v>
      </c>
      <c r="J890">
        <v>0</v>
      </c>
      <c r="K890">
        <v>0</v>
      </c>
      <c r="L890">
        <v>0</v>
      </c>
      <c r="M890">
        <v>1</v>
      </c>
      <c r="N890">
        <v>1</v>
      </c>
      <c r="O890">
        <v>0</v>
      </c>
      <c r="P890">
        <v>1</v>
      </c>
      <c r="Q890">
        <v>45.733333330000001</v>
      </c>
    </row>
    <row r="891" spans="1:17" x14ac:dyDescent="0.25">
      <c r="A891">
        <v>54</v>
      </c>
      <c r="B891">
        <v>23</v>
      </c>
      <c r="C891">
        <v>2</v>
      </c>
      <c r="D891">
        <v>0</v>
      </c>
      <c r="E891">
        <v>6</v>
      </c>
      <c r="F891">
        <v>3.0459999999999998</v>
      </c>
      <c r="G891">
        <v>1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124.13333329999899</v>
      </c>
    </row>
    <row r="892" spans="1:17" x14ac:dyDescent="0.25">
      <c r="A892">
        <v>68</v>
      </c>
      <c r="B892">
        <v>18</v>
      </c>
      <c r="C892">
        <v>2</v>
      </c>
      <c r="D892">
        <v>1</v>
      </c>
      <c r="E892">
        <v>8</v>
      </c>
      <c r="F892">
        <v>4.0359999999999996</v>
      </c>
      <c r="G892">
        <v>1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1</v>
      </c>
      <c r="P892">
        <v>0</v>
      </c>
      <c r="Q892">
        <v>98.833333330000002</v>
      </c>
    </row>
    <row r="893" spans="1:17" x14ac:dyDescent="0.25">
      <c r="A893">
        <v>41</v>
      </c>
      <c r="B893">
        <v>27</v>
      </c>
      <c r="C893">
        <v>2</v>
      </c>
      <c r="D893">
        <v>0</v>
      </c>
      <c r="E893">
        <v>4</v>
      </c>
      <c r="F893">
        <v>4.0539999999999896</v>
      </c>
      <c r="G893">
        <v>1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25.233333330000001</v>
      </c>
    </row>
    <row r="894" spans="1:17" x14ac:dyDescent="0.25">
      <c r="A894">
        <v>61</v>
      </c>
      <c r="B894">
        <v>20</v>
      </c>
      <c r="C894">
        <v>2</v>
      </c>
      <c r="D894">
        <v>2</v>
      </c>
      <c r="E894">
        <v>11</v>
      </c>
      <c r="F894">
        <v>4.04</v>
      </c>
      <c r="G894">
        <v>1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1</v>
      </c>
      <c r="P894">
        <v>1</v>
      </c>
      <c r="Q894">
        <v>51.666666669999998</v>
      </c>
    </row>
    <row r="895" spans="1:17" x14ac:dyDescent="0.25">
      <c r="A895">
        <v>71</v>
      </c>
      <c r="B895">
        <v>15</v>
      </c>
      <c r="C895">
        <v>2</v>
      </c>
      <c r="D895">
        <v>2</v>
      </c>
      <c r="E895">
        <v>4</v>
      </c>
      <c r="F895">
        <v>5.03</v>
      </c>
      <c r="G895">
        <v>1</v>
      </c>
      <c r="H895">
        <v>0</v>
      </c>
      <c r="I895">
        <v>0</v>
      </c>
      <c r="J895">
        <v>0</v>
      </c>
      <c r="K895">
        <v>0</v>
      </c>
      <c r="L895">
        <v>1</v>
      </c>
      <c r="M895">
        <v>1</v>
      </c>
      <c r="N895">
        <v>0</v>
      </c>
      <c r="O895">
        <v>1</v>
      </c>
      <c r="P895">
        <v>1</v>
      </c>
      <c r="Q895">
        <v>195.8666667</v>
      </c>
    </row>
    <row r="896" spans="1:17" x14ac:dyDescent="0.25">
      <c r="A896">
        <v>56</v>
      </c>
      <c r="B896">
        <v>20</v>
      </c>
      <c r="C896">
        <v>1</v>
      </c>
      <c r="D896">
        <v>0</v>
      </c>
      <c r="E896">
        <v>8</v>
      </c>
      <c r="F896">
        <v>3.04</v>
      </c>
      <c r="G896">
        <v>1</v>
      </c>
      <c r="H896">
        <v>0</v>
      </c>
      <c r="I896">
        <v>0</v>
      </c>
      <c r="J896">
        <v>0</v>
      </c>
      <c r="K896">
        <v>0</v>
      </c>
      <c r="L896">
        <v>1</v>
      </c>
      <c r="M896">
        <v>1</v>
      </c>
      <c r="N896">
        <v>0</v>
      </c>
      <c r="O896">
        <v>0</v>
      </c>
      <c r="P896">
        <v>1</v>
      </c>
      <c r="Q896">
        <v>250.83333329999999</v>
      </c>
    </row>
    <row r="897" spans="1:17" x14ac:dyDescent="0.25">
      <c r="A897">
        <v>76</v>
      </c>
      <c r="B897">
        <v>15</v>
      </c>
      <c r="C897">
        <v>2</v>
      </c>
      <c r="D897">
        <v>4</v>
      </c>
      <c r="E897">
        <v>4</v>
      </c>
      <c r="F897">
        <v>4.03</v>
      </c>
      <c r="G897">
        <v>1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1</v>
      </c>
      <c r="P897">
        <v>1</v>
      </c>
      <c r="Q897">
        <v>216.03333330000001</v>
      </c>
    </row>
    <row r="898" spans="1:17" x14ac:dyDescent="0.25">
      <c r="A898">
        <v>56</v>
      </c>
      <c r="B898">
        <v>25</v>
      </c>
      <c r="C898">
        <v>2</v>
      </c>
      <c r="D898">
        <v>1</v>
      </c>
      <c r="E898">
        <v>6</v>
      </c>
      <c r="F898">
        <v>5.05</v>
      </c>
      <c r="G898">
        <v>1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1</v>
      </c>
      <c r="P898">
        <v>1</v>
      </c>
      <c r="Q898">
        <v>211.9</v>
      </c>
    </row>
    <row r="899" spans="1:17" x14ac:dyDescent="0.25">
      <c r="A899">
        <v>41</v>
      </c>
      <c r="B899">
        <v>15</v>
      </c>
      <c r="C899">
        <v>2</v>
      </c>
      <c r="D899">
        <v>1</v>
      </c>
      <c r="E899">
        <v>3</v>
      </c>
      <c r="F899">
        <v>5.03</v>
      </c>
      <c r="G899">
        <v>1</v>
      </c>
      <c r="H899">
        <v>0</v>
      </c>
      <c r="I899">
        <v>0</v>
      </c>
      <c r="J899">
        <v>0</v>
      </c>
      <c r="K899">
        <v>0</v>
      </c>
      <c r="L899">
        <v>1</v>
      </c>
      <c r="M899">
        <v>1</v>
      </c>
      <c r="N899">
        <v>1</v>
      </c>
      <c r="O899">
        <v>0</v>
      </c>
      <c r="P899">
        <v>0</v>
      </c>
      <c r="Q899">
        <v>169.66666669999901</v>
      </c>
    </row>
    <row r="900" spans="1:17" x14ac:dyDescent="0.25">
      <c r="A900">
        <v>66</v>
      </c>
      <c r="B900">
        <v>25</v>
      </c>
      <c r="C900">
        <v>2</v>
      </c>
      <c r="D900">
        <v>1</v>
      </c>
      <c r="E900">
        <v>3</v>
      </c>
      <c r="F900">
        <v>5.05</v>
      </c>
      <c r="G900">
        <v>0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1</v>
      </c>
      <c r="P900">
        <v>1</v>
      </c>
      <c r="Q900">
        <v>53.633333329999999</v>
      </c>
    </row>
    <row r="901" spans="1:17" x14ac:dyDescent="0.25">
      <c r="A901">
        <v>47</v>
      </c>
      <c r="B901">
        <v>2</v>
      </c>
      <c r="C901">
        <v>1</v>
      </c>
      <c r="D901">
        <v>0</v>
      </c>
      <c r="E901">
        <v>10</v>
      </c>
      <c r="F901">
        <v>4.0039999999999996</v>
      </c>
      <c r="G901">
        <v>1</v>
      </c>
      <c r="H901">
        <v>0</v>
      </c>
      <c r="I901">
        <v>0</v>
      </c>
      <c r="J901">
        <v>0</v>
      </c>
      <c r="K901">
        <v>0</v>
      </c>
      <c r="L901">
        <v>1</v>
      </c>
      <c r="M901">
        <v>1</v>
      </c>
      <c r="N901">
        <v>0</v>
      </c>
      <c r="O901">
        <v>0</v>
      </c>
      <c r="P901">
        <v>0</v>
      </c>
      <c r="Q901">
        <v>202.1</v>
      </c>
    </row>
    <row r="902" spans="1:17" x14ac:dyDescent="0.25">
      <c r="A902">
        <v>72</v>
      </c>
      <c r="B902">
        <v>57</v>
      </c>
      <c r="C902">
        <v>3</v>
      </c>
      <c r="D902">
        <v>3</v>
      </c>
      <c r="E902">
        <v>3</v>
      </c>
      <c r="F902">
        <v>4.1139999999999999</v>
      </c>
      <c r="G902">
        <v>0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1</v>
      </c>
      <c r="P902">
        <v>1</v>
      </c>
      <c r="Q902">
        <v>28.833333329999999</v>
      </c>
    </row>
    <row r="903" spans="1:17" x14ac:dyDescent="0.25">
      <c r="A903">
        <v>76</v>
      </c>
      <c r="B903">
        <v>40</v>
      </c>
      <c r="C903">
        <v>2</v>
      </c>
      <c r="D903">
        <v>1</v>
      </c>
      <c r="E903">
        <v>4</v>
      </c>
      <c r="F903">
        <v>4.08</v>
      </c>
      <c r="G903">
        <v>1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1</v>
      </c>
      <c r="P903">
        <v>0</v>
      </c>
      <c r="Q903">
        <v>15.366666670000001</v>
      </c>
    </row>
    <row r="904" spans="1:17" x14ac:dyDescent="0.25">
      <c r="A904">
        <v>56</v>
      </c>
      <c r="B904">
        <v>15</v>
      </c>
      <c r="C904">
        <v>1</v>
      </c>
      <c r="D904">
        <v>0</v>
      </c>
      <c r="E904">
        <v>5</v>
      </c>
      <c r="F904">
        <v>4.03</v>
      </c>
      <c r="G904">
        <v>1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1</v>
      </c>
      <c r="P904">
        <v>1</v>
      </c>
      <c r="Q904">
        <v>125.7666667</v>
      </c>
    </row>
    <row r="905" spans="1:17" x14ac:dyDescent="0.25">
      <c r="A905">
        <v>79</v>
      </c>
      <c r="B905">
        <v>25</v>
      </c>
      <c r="C905">
        <v>2</v>
      </c>
      <c r="D905">
        <v>2</v>
      </c>
      <c r="E905">
        <v>8</v>
      </c>
      <c r="F905">
        <v>4.05</v>
      </c>
      <c r="G905">
        <v>1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1</v>
      </c>
      <c r="P905">
        <v>0</v>
      </c>
      <c r="Q905">
        <v>23.033333330000001</v>
      </c>
    </row>
    <row r="906" spans="1:17" x14ac:dyDescent="0.25">
      <c r="A906">
        <v>75</v>
      </c>
      <c r="B906">
        <v>40</v>
      </c>
      <c r="C906">
        <v>2</v>
      </c>
      <c r="D906">
        <v>1</v>
      </c>
      <c r="E906">
        <v>2</v>
      </c>
      <c r="F906">
        <v>5.08</v>
      </c>
      <c r="G906">
        <v>0</v>
      </c>
      <c r="H906">
        <v>0</v>
      </c>
      <c r="I906">
        <v>1</v>
      </c>
      <c r="J906">
        <v>0</v>
      </c>
      <c r="K906">
        <v>0</v>
      </c>
      <c r="L906">
        <v>1</v>
      </c>
      <c r="M906">
        <v>1</v>
      </c>
      <c r="N906">
        <v>0</v>
      </c>
      <c r="O906">
        <v>1</v>
      </c>
      <c r="P906">
        <v>0</v>
      </c>
      <c r="Q906">
        <v>243.16666669999901</v>
      </c>
    </row>
    <row r="907" spans="1:17" x14ac:dyDescent="0.25">
      <c r="A907">
        <v>66</v>
      </c>
      <c r="B907">
        <v>25</v>
      </c>
      <c r="C907">
        <v>2</v>
      </c>
      <c r="D907">
        <v>0</v>
      </c>
      <c r="E907">
        <v>2</v>
      </c>
      <c r="F907">
        <v>3.05</v>
      </c>
      <c r="G907">
        <v>0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1</v>
      </c>
      <c r="P907">
        <v>1</v>
      </c>
      <c r="Q907">
        <v>39.299999999999997</v>
      </c>
    </row>
    <row r="908" spans="1:17" x14ac:dyDescent="0.25">
      <c r="A908">
        <v>67</v>
      </c>
      <c r="B908">
        <v>25</v>
      </c>
      <c r="C908">
        <v>2</v>
      </c>
      <c r="D908">
        <v>1</v>
      </c>
      <c r="E908">
        <v>4</v>
      </c>
      <c r="F908">
        <v>5.05</v>
      </c>
      <c r="G908">
        <v>1</v>
      </c>
      <c r="H908">
        <v>0</v>
      </c>
      <c r="I908">
        <v>0</v>
      </c>
      <c r="J908">
        <v>0</v>
      </c>
      <c r="K908">
        <v>0</v>
      </c>
      <c r="L908">
        <v>1</v>
      </c>
      <c r="M908">
        <v>1</v>
      </c>
      <c r="N908">
        <v>0</v>
      </c>
      <c r="O908">
        <v>1</v>
      </c>
      <c r="P908">
        <v>1</v>
      </c>
      <c r="Q908">
        <v>2.5333333329999999</v>
      </c>
    </row>
    <row r="909" spans="1:17" x14ac:dyDescent="0.25">
      <c r="A909">
        <v>35</v>
      </c>
      <c r="B909">
        <v>45</v>
      </c>
      <c r="C909">
        <v>2</v>
      </c>
      <c r="D909">
        <v>7</v>
      </c>
      <c r="E909">
        <v>9</v>
      </c>
      <c r="F909">
        <v>6.09</v>
      </c>
      <c r="G909">
        <v>1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1</v>
      </c>
      <c r="O909">
        <v>1</v>
      </c>
      <c r="P909">
        <v>1</v>
      </c>
      <c r="Q909">
        <v>102</v>
      </c>
    </row>
    <row r="910" spans="1:17" x14ac:dyDescent="0.25">
      <c r="A910">
        <v>57</v>
      </c>
      <c r="B910">
        <v>45</v>
      </c>
      <c r="C910">
        <v>3</v>
      </c>
      <c r="D910">
        <v>3</v>
      </c>
      <c r="E910">
        <v>6</v>
      </c>
      <c r="F910">
        <v>5.09</v>
      </c>
      <c r="G910">
        <v>1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1</v>
      </c>
      <c r="O910">
        <v>0</v>
      </c>
      <c r="P910">
        <v>1</v>
      </c>
      <c r="Q910">
        <v>12.266666669999999</v>
      </c>
    </row>
    <row r="911" spans="1:17" x14ac:dyDescent="0.25">
      <c r="A911">
        <v>44</v>
      </c>
      <c r="B911">
        <v>50</v>
      </c>
      <c r="C911">
        <v>2</v>
      </c>
      <c r="D911">
        <v>2</v>
      </c>
      <c r="E911">
        <v>8</v>
      </c>
      <c r="F911">
        <v>5.0999999999999996</v>
      </c>
      <c r="G911">
        <v>1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1</v>
      </c>
      <c r="O911">
        <v>1</v>
      </c>
      <c r="P911">
        <v>1</v>
      </c>
      <c r="Q911">
        <v>201.83333329999999</v>
      </c>
    </row>
    <row r="912" spans="1:17" x14ac:dyDescent="0.25">
      <c r="A912">
        <v>65</v>
      </c>
      <c r="B912">
        <v>20</v>
      </c>
      <c r="C912">
        <v>1</v>
      </c>
      <c r="D912">
        <v>0</v>
      </c>
      <c r="E912">
        <v>5</v>
      </c>
      <c r="F912">
        <v>3.04</v>
      </c>
      <c r="G912">
        <v>1</v>
      </c>
      <c r="H912">
        <v>0</v>
      </c>
      <c r="I912">
        <v>0</v>
      </c>
      <c r="J912">
        <v>0</v>
      </c>
      <c r="K912">
        <v>0</v>
      </c>
      <c r="L912">
        <v>1</v>
      </c>
      <c r="M912">
        <v>1</v>
      </c>
      <c r="N912">
        <v>0</v>
      </c>
      <c r="O912">
        <v>1</v>
      </c>
      <c r="P912">
        <v>1</v>
      </c>
      <c r="Q912">
        <v>192.2</v>
      </c>
    </row>
    <row r="913" spans="1:17" x14ac:dyDescent="0.25">
      <c r="A913">
        <v>37</v>
      </c>
      <c r="B913">
        <v>13</v>
      </c>
      <c r="C913">
        <v>3</v>
      </c>
      <c r="D913">
        <v>12</v>
      </c>
      <c r="E913">
        <v>5</v>
      </c>
      <c r="F913">
        <v>6.0259999999999998</v>
      </c>
      <c r="G913">
        <v>0</v>
      </c>
      <c r="H913">
        <v>0</v>
      </c>
      <c r="I913">
        <v>1</v>
      </c>
      <c r="J913">
        <v>0</v>
      </c>
      <c r="K913">
        <v>0</v>
      </c>
      <c r="L913">
        <v>0</v>
      </c>
      <c r="M913">
        <v>1</v>
      </c>
      <c r="N913">
        <v>1</v>
      </c>
      <c r="O913">
        <v>1</v>
      </c>
      <c r="P913">
        <v>1</v>
      </c>
      <c r="Q913">
        <v>30.93333333</v>
      </c>
    </row>
    <row r="914" spans="1:17" x14ac:dyDescent="0.25">
      <c r="A914">
        <v>57</v>
      </c>
      <c r="B914">
        <v>14</v>
      </c>
      <c r="C914">
        <v>1</v>
      </c>
      <c r="D914">
        <v>0</v>
      </c>
      <c r="E914">
        <v>10</v>
      </c>
      <c r="F914">
        <v>4.0279999999999996</v>
      </c>
      <c r="G914">
        <v>0</v>
      </c>
      <c r="H914">
        <v>0</v>
      </c>
      <c r="I914">
        <v>1</v>
      </c>
      <c r="J914">
        <v>0</v>
      </c>
      <c r="K914">
        <v>0</v>
      </c>
      <c r="L914">
        <v>1</v>
      </c>
      <c r="M914">
        <v>1</v>
      </c>
      <c r="N914">
        <v>0</v>
      </c>
      <c r="O914">
        <v>1</v>
      </c>
      <c r="P914">
        <v>0</v>
      </c>
      <c r="Q914">
        <v>237.2666667</v>
      </c>
    </row>
    <row r="915" spans="1:17" x14ac:dyDescent="0.25">
      <c r="A915">
        <v>71</v>
      </c>
      <c r="B915">
        <v>14</v>
      </c>
      <c r="C915">
        <v>1</v>
      </c>
      <c r="D915">
        <v>0</v>
      </c>
      <c r="E915">
        <v>6</v>
      </c>
      <c r="F915">
        <v>4.0279999999999996</v>
      </c>
      <c r="G915">
        <v>1</v>
      </c>
      <c r="H915">
        <v>0</v>
      </c>
      <c r="I915">
        <v>0</v>
      </c>
      <c r="J915">
        <v>0</v>
      </c>
      <c r="K915">
        <v>0</v>
      </c>
      <c r="L915">
        <v>1</v>
      </c>
      <c r="M915">
        <v>1</v>
      </c>
      <c r="N915">
        <v>0</v>
      </c>
      <c r="O915">
        <v>0</v>
      </c>
      <c r="P915">
        <v>1</v>
      </c>
      <c r="Q915">
        <v>165.16666669999901</v>
      </c>
    </row>
    <row r="916" spans="1:17" x14ac:dyDescent="0.25">
      <c r="A916">
        <v>61</v>
      </c>
      <c r="B916">
        <v>14</v>
      </c>
      <c r="C916">
        <v>1</v>
      </c>
      <c r="D916">
        <v>0</v>
      </c>
      <c r="E916">
        <v>9</v>
      </c>
      <c r="F916">
        <v>4.0279999999999996</v>
      </c>
      <c r="G916">
        <v>1</v>
      </c>
      <c r="H916">
        <v>0</v>
      </c>
      <c r="I916">
        <v>0</v>
      </c>
      <c r="J916">
        <v>0</v>
      </c>
      <c r="K916">
        <v>0</v>
      </c>
      <c r="L916">
        <v>1</v>
      </c>
      <c r="M916">
        <v>1</v>
      </c>
      <c r="N916">
        <v>0</v>
      </c>
      <c r="O916">
        <v>1</v>
      </c>
      <c r="P916">
        <v>1</v>
      </c>
      <c r="Q916">
        <v>165.66666669999901</v>
      </c>
    </row>
    <row r="917" spans="1:17" x14ac:dyDescent="0.25">
      <c r="A917">
        <v>71</v>
      </c>
      <c r="B917">
        <v>20</v>
      </c>
      <c r="C917">
        <v>2</v>
      </c>
      <c r="D917">
        <v>4</v>
      </c>
      <c r="E917">
        <v>3</v>
      </c>
      <c r="F917">
        <v>5.04</v>
      </c>
      <c r="G917">
        <v>1</v>
      </c>
      <c r="H917">
        <v>0</v>
      </c>
      <c r="I917">
        <v>0</v>
      </c>
      <c r="J917">
        <v>0</v>
      </c>
      <c r="K917">
        <v>0</v>
      </c>
      <c r="L917">
        <v>1</v>
      </c>
      <c r="M917">
        <v>1</v>
      </c>
      <c r="N917">
        <v>0</v>
      </c>
      <c r="O917">
        <v>1</v>
      </c>
      <c r="P917">
        <v>1</v>
      </c>
      <c r="Q917">
        <v>213</v>
      </c>
    </row>
    <row r="918" spans="1:17" x14ac:dyDescent="0.25">
      <c r="A918">
        <v>73</v>
      </c>
      <c r="B918">
        <v>22</v>
      </c>
      <c r="C918">
        <v>2</v>
      </c>
      <c r="D918">
        <v>2</v>
      </c>
      <c r="E918">
        <v>6</v>
      </c>
      <c r="F918">
        <v>2.044</v>
      </c>
      <c r="G918">
        <v>1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1</v>
      </c>
      <c r="P918">
        <v>0</v>
      </c>
      <c r="Q918">
        <v>106.8</v>
      </c>
    </row>
    <row r="919" spans="1:17" x14ac:dyDescent="0.25">
      <c r="A919">
        <v>75</v>
      </c>
      <c r="B919">
        <v>12</v>
      </c>
      <c r="C919">
        <v>1</v>
      </c>
      <c r="D919">
        <v>0</v>
      </c>
      <c r="E919">
        <v>3</v>
      </c>
      <c r="F919">
        <v>3.0239999999999898</v>
      </c>
      <c r="G919">
        <v>0</v>
      </c>
      <c r="H919">
        <v>1</v>
      </c>
      <c r="I919">
        <v>0</v>
      </c>
      <c r="J919">
        <v>0</v>
      </c>
      <c r="K919">
        <v>0</v>
      </c>
      <c r="L919">
        <v>1</v>
      </c>
      <c r="M919">
        <v>1</v>
      </c>
      <c r="N919">
        <v>0</v>
      </c>
      <c r="O919">
        <v>1</v>
      </c>
      <c r="P919">
        <v>0</v>
      </c>
      <c r="Q919">
        <v>70.166666669999998</v>
      </c>
    </row>
    <row r="920" spans="1:17" x14ac:dyDescent="0.25">
      <c r="A920">
        <v>81</v>
      </c>
      <c r="B920">
        <v>35</v>
      </c>
      <c r="C920">
        <v>2</v>
      </c>
      <c r="D920">
        <v>3</v>
      </c>
      <c r="E920">
        <v>11</v>
      </c>
      <c r="F920">
        <v>4.07</v>
      </c>
      <c r="G920">
        <v>1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1</v>
      </c>
      <c r="P920">
        <v>0</v>
      </c>
      <c r="Q920">
        <v>74.733333329999994</v>
      </c>
    </row>
    <row r="921" spans="1:17" x14ac:dyDescent="0.25">
      <c r="A921">
        <v>80</v>
      </c>
      <c r="B921">
        <v>30</v>
      </c>
      <c r="C921">
        <v>2</v>
      </c>
      <c r="D921">
        <v>5</v>
      </c>
      <c r="E921">
        <v>6</v>
      </c>
      <c r="F921">
        <v>3.06</v>
      </c>
      <c r="G921">
        <v>0</v>
      </c>
      <c r="H921">
        <v>1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1</v>
      </c>
      <c r="P921">
        <v>1</v>
      </c>
      <c r="Q921">
        <v>97.433333329999996</v>
      </c>
    </row>
    <row r="922" spans="1:17" x14ac:dyDescent="0.25">
      <c r="A922">
        <v>36</v>
      </c>
      <c r="B922">
        <v>1</v>
      </c>
      <c r="C922">
        <v>1</v>
      </c>
      <c r="D922">
        <v>0</v>
      </c>
      <c r="E922">
        <v>9</v>
      </c>
      <c r="F922">
        <v>4.0019999999999998</v>
      </c>
      <c r="G922">
        <v>1</v>
      </c>
      <c r="H922">
        <v>0</v>
      </c>
      <c r="I922">
        <v>0</v>
      </c>
      <c r="J922">
        <v>0</v>
      </c>
      <c r="K922">
        <v>0</v>
      </c>
      <c r="L922">
        <v>1</v>
      </c>
      <c r="M922">
        <v>1</v>
      </c>
      <c r="N922">
        <v>0</v>
      </c>
      <c r="O922">
        <v>0</v>
      </c>
      <c r="P922">
        <v>1</v>
      </c>
      <c r="Q922">
        <v>205.6</v>
      </c>
    </row>
    <row r="923" spans="1:17" x14ac:dyDescent="0.25">
      <c r="A923">
        <v>65</v>
      </c>
      <c r="B923">
        <v>16</v>
      </c>
      <c r="C923">
        <v>1</v>
      </c>
      <c r="D923">
        <v>0</v>
      </c>
      <c r="E923">
        <v>6</v>
      </c>
      <c r="F923">
        <v>3.032</v>
      </c>
      <c r="G923">
        <v>1</v>
      </c>
      <c r="H923">
        <v>0</v>
      </c>
      <c r="I923">
        <v>0</v>
      </c>
      <c r="J923">
        <v>0</v>
      </c>
      <c r="K923">
        <v>0</v>
      </c>
      <c r="L923">
        <v>1</v>
      </c>
      <c r="M923">
        <v>1</v>
      </c>
      <c r="N923">
        <v>0</v>
      </c>
      <c r="O923">
        <v>0</v>
      </c>
      <c r="P923">
        <v>1</v>
      </c>
      <c r="Q923">
        <v>101.4</v>
      </c>
    </row>
    <row r="924" spans="1:17" x14ac:dyDescent="0.25">
      <c r="A924">
        <v>51</v>
      </c>
      <c r="B924">
        <v>22</v>
      </c>
      <c r="C924">
        <v>2</v>
      </c>
      <c r="D924">
        <v>5</v>
      </c>
      <c r="E924">
        <v>9</v>
      </c>
      <c r="F924">
        <v>6.0439999999999996</v>
      </c>
      <c r="G924">
        <v>1</v>
      </c>
      <c r="H924">
        <v>0</v>
      </c>
      <c r="I924">
        <v>0</v>
      </c>
      <c r="J924">
        <v>0</v>
      </c>
      <c r="K924">
        <v>0</v>
      </c>
      <c r="L924">
        <v>1</v>
      </c>
      <c r="M924">
        <v>1</v>
      </c>
      <c r="N924">
        <v>1</v>
      </c>
      <c r="O924">
        <v>1</v>
      </c>
      <c r="P924">
        <v>1</v>
      </c>
      <c r="Q924">
        <v>198.1333333</v>
      </c>
    </row>
    <row r="925" spans="1:17" x14ac:dyDescent="0.25">
      <c r="A925">
        <v>66</v>
      </c>
      <c r="B925">
        <v>30</v>
      </c>
      <c r="C925">
        <v>2</v>
      </c>
      <c r="D925">
        <v>0</v>
      </c>
      <c r="E925">
        <v>7</v>
      </c>
      <c r="F925">
        <v>4.0599999999999996</v>
      </c>
      <c r="G925">
        <v>1</v>
      </c>
      <c r="H925">
        <v>0</v>
      </c>
      <c r="I925">
        <v>0</v>
      </c>
      <c r="J925">
        <v>0</v>
      </c>
      <c r="K925">
        <v>0</v>
      </c>
      <c r="L925">
        <v>1</v>
      </c>
      <c r="M925">
        <v>1</v>
      </c>
      <c r="N925">
        <v>0</v>
      </c>
      <c r="O925">
        <v>1</v>
      </c>
      <c r="P925">
        <v>1</v>
      </c>
      <c r="Q925">
        <v>202.7666667</v>
      </c>
    </row>
    <row r="926" spans="1:17" x14ac:dyDescent="0.25">
      <c r="A926">
        <v>43</v>
      </c>
      <c r="B926">
        <v>18</v>
      </c>
      <c r="C926">
        <v>2</v>
      </c>
      <c r="D926">
        <v>1</v>
      </c>
      <c r="E926">
        <v>6</v>
      </c>
      <c r="F926">
        <v>5.0359999999999996</v>
      </c>
      <c r="G926">
        <v>1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1</v>
      </c>
      <c r="O926">
        <v>0</v>
      </c>
      <c r="P926">
        <v>0</v>
      </c>
      <c r="Q926">
        <v>26</v>
      </c>
    </row>
    <row r="927" spans="1:17" x14ac:dyDescent="0.25">
      <c r="A927">
        <v>51</v>
      </c>
      <c r="B927">
        <v>14</v>
      </c>
      <c r="C927">
        <v>1</v>
      </c>
      <c r="D927">
        <v>0</v>
      </c>
      <c r="E927">
        <v>10</v>
      </c>
      <c r="F927">
        <v>3.028</v>
      </c>
      <c r="G927">
        <v>1</v>
      </c>
      <c r="H927">
        <v>0</v>
      </c>
      <c r="I927">
        <v>0</v>
      </c>
      <c r="J927">
        <v>0</v>
      </c>
      <c r="K927">
        <v>0</v>
      </c>
      <c r="L927">
        <v>1</v>
      </c>
      <c r="M927">
        <v>1</v>
      </c>
      <c r="N927">
        <v>0</v>
      </c>
      <c r="O927">
        <v>0</v>
      </c>
      <c r="P927">
        <v>1</v>
      </c>
      <c r="Q927">
        <v>220.2333333</v>
      </c>
    </row>
    <row r="928" spans="1:17" x14ac:dyDescent="0.25">
      <c r="A928">
        <v>45</v>
      </c>
      <c r="B928">
        <v>60</v>
      </c>
      <c r="C928">
        <v>3</v>
      </c>
      <c r="D928">
        <v>4</v>
      </c>
      <c r="E928">
        <v>10</v>
      </c>
      <c r="F928">
        <v>6.12</v>
      </c>
      <c r="G928">
        <v>1</v>
      </c>
      <c r="H928">
        <v>0</v>
      </c>
      <c r="I928">
        <v>0</v>
      </c>
      <c r="J928">
        <v>0</v>
      </c>
      <c r="K928">
        <v>0</v>
      </c>
      <c r="L928">
        <v>1</v>
      </c>
      <c r="M928">
        <v>1</v>
      </c>
      <c r="N928">
        <v>1</v>
      </c>
      <c r="O928">
        <v>0</v>
      </c>
      <c r="P928">
        <v>1</v>
      </c>
      <c r="Q928">
        <v>107.0666667</v>
      </c>
    </row>
    <row r="929" spans="1:17" x14ac:dyDescent="0.25">
      <c r="A929">
        <v>64</v>
      </c>
      <c r="B929">
        <v>25</v>
      </c>
      <c r="C929">
        <v>2</v>
      </c>
      <c r="D929">
        <v>1</v>
      </c>
      <c r="E929">
        <v>4</v>
      </c>
      <c r="F929">
        <v>5.05</v>
      </c>
      <c r="G929">
        <v>1</v>
      </c>
      <c r="H929">
        <v>0</v>
      </c>
      <c r="I929">
        <v>0</v>
      </c>
      <c r="J929">
        <v>0</v>
      </c>
      <c r="K929">
        <v>0</v>
      </c>
      <c r="L929">
        <v>1</v>
      </c>
      <c r="M929">
        <v>1</v>
      </c>
      <c r="N929">
        <v>0</v>
      </c>
      <c r="O929">
        <v>1</v>
      </c>
      <c r="P929">
        <v>0</v>
      </c>
      <c r="Q929">
        <v>207.16666669999901</v>
      </c>
    </row>
    <row r="930" spans="1:17" x14ac:dyDescent="0.25">
      <c r="A930">
        <v>68</v>
      </c>
      <c r="B930">
        <v>20</v>
      </c>
      <c r="C930">
        <v>1</v>
      </c>
      <c r="D930">
        <v>0</v>
      </c>
      <c r="E930">
        <v>4</v>
      </c>
      <c r="F930">
        <v>4.04</v>
      </c>
      <c r="G930">
        <v>1</v>
      </c>
      <c r="H930">
        <v>0</v>
      </c>
      <c r="I930">
        <v>0</v>
      </c>
      <c r="J930">
        <v>0</v>
      </c>
      <c r="K930">
        <v>0</v>
      </c>
      <c r="L930">
        <v>1</v>
      </c>
      <c r="M930">
        <v>1</v>
      </c>
      <c r="N930">
        <v>0</v>
      </c>
      <c r="O930">
        <v>0</v>
      </c>
      <c r="P930">
        <v>1</v>
      </c>
      <c r="Q930">
        <v>194.56666669999899</v>
      </c>
    </row>
    <row r="931" spans="1:17" x14ac:dyDescent="0.25">
      <c r="A931">
        <v>47</v>
      </c>
      <c r="B931">
        <v>32</v>
      </c>
      <c r="C931">
        <v>2</v>
      </c>
      <c r="D931">
        <v>0</v>
      </c>
      <c r="E931">
        <v>6</v>
      </c>
      <c r="F931">
        <v>2.0640000000000001</v>
      </c>
      <c r="G931">
        <v>1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0</v>
      </c>
      <c r="O931">
        <v>0</v>
      </c>
      <c r="P931">
        <v>0</v>
      </c>
      <c r="Q931">
        <v>46.066666669999996</v>
      </c>
    </row>
    <row r="932" spans="1:17" x14ac:dyDescent="0.25">
      <c r="A932">
        <v>66</v>
      </c>
      <c r="B932">
        <v>13</v>
      </c>
      <c r="C932">
        <v>1</v>
      </c>
      <c r="D932">
        <v>0</v>
      </c>
      <c r="E932">
        <v>4</v>
      </c>
      <c r="F932">
        <v>3.0259999999999998</v>
      </c>
      <c r="G932">
        <v>0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0</v>
      </c>
      <c r="O932">
        <v>0</v>
      </c>
      <c r="P932">
        <v>0</v>
      </c>
      <c r="Q932">
        <v>83.533333330000005</v>
      </c>
    </row>
    <row r="933" spans="1:17" x14ac:dyDescent="0.25">
      <c r="A933">
        <v>67</v>
      </c>
      <c r="B933">
        <v>40</v>
      </c>
      <c r="C933">
        <v>2</v>
      </c>
      <c r="D933">
        <v>3</v>
      </c>
      <c r="E933">
        <v>7</v>
      </c>
      <c r="F933">
        <v>4.08</v>
      </c>
      <c r="G933">
        <v>1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0</v>
      </c>
      <c r="O933">
        <v>1</v>
      </c>
      <c r="P933">
        <v>0</v>
      </c>
      <c r="Q933">
        <v>49.466666670000002</v>
      </c>
    </row>
    <row r="934" spans="1:17" x14ac:dyDescent="0.25">
      <c r="A934">
        <v>53</v>
      </c>
      <c r="B934">
        <v>25</v>
      </c>
      <c r="C934">
        <v>2</v>
      </c>
      <c r="D934">
        <v>11</v>
      </c>
      <c r="E934">
        <v>4</v>
      </c>
      <c r="F934">
        <v>6.05</v>
      </c>
      <c r="G934">
        <v>1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1</v>
      </c>
      <c r="O934">
        <v>1</v>
      </c>
      <c r="P934">
        <v>1</v>
      </c>
      <c r="Q934">
        <v>34.633333329999999</v>
      </c>
    </row>
    <row r="935" spans="1:17" x14ac:dyDescent="0.25">
      <c r="A935">
        <v>55</v>
      </c>
      <c r="B935">
        <v>15</v>
      </c>
      <c r="C935">
        <v>1</v>
      </c>
      <c r="D935">
        <v>0</v>
      </c>
      <c r="E935">
        <v>5</v>
      </c>
      <c r="F935">
        <v>3.03</v>
      </c>
      <c r="G935">
        <v>0</v>
      </c>
      <c r="H935">
        <v>1</v>
      </c>
      <c r="I935">
        <v>0</v>
      </c>
      <c r="J935">
        <v>0</v>
      </c>
      <c r="K935">
        <v>0</v>
      </c>
      <c r="L935">
        <v>1</v>
      </c>
      <c r="M935">
        <v>1</v>
      </c>
      <c r="N935">
        <v>0</v>
      </c>
      <c r="O935">
        <v>1</v>
      </c>
      <c r="P935">
        <v>1</v>
      </c>
      <c r="Q935">
        <v>150.46666669999999</v>
      </c>
    </row>
    <row r="936" spans="1:17" x14ac:dyDescent="0.25">
      <c r="A936">
        <v>49</v>
      </c>
      <c r="B936">
        <v>15</v>
      </c>
      <c r="C936">
        <v>1</v>
      </c>
      <c r="D936">
        <v>0</v>
      </c>
      <c r="E936">
        <v>9</v>
      </c>
      <c r="F936">
        <v>3.03</v>
      </c>
      <c r="G936">
        <v>1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0</v>
      </c>
      <c r="O936">
        <v>0</v>
      </c>
      <c r="P936">
        <v>1</v>
      </c>
      <c r="Q936">
        <v>15.866666670000001</v>
      </c>
    </row>
    <row r="937" spans="1:17" x14ac:dyDescent="0.25">
      <c r="A937">
        <v>69</v>
      </c>
      <c r="B937">
        <v>30</v>
      </c>
      <c r="C937">
        <v>2</v>
      </c>
      <c r="D937">
        <v>0</v>
      </c>
      <c r="E937">
        <v>4</v>
      </c>
      <c r="F937">
        <v>3.06</v>
      </c>
      <c r="G937">
        <v>1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0</v>
      </c>
      <c r="O937">
        <v>1</v>
      </c>
      <c r="P937">
        <v>0</v>
      </c>
      <c r="Q937">
        <v>176.3666667</v>
      </c>
    </row>
    <row r="938" spans="1:17" x14ac:dyDescent="0.25">
      <c r="A938">
        <v>71</v>
      </c>
      <c r="B938">
        <v>55</v>
      </c>
      <c r="C938">
        <v>3</v>
      </c>
      <c r="D938">
        <v>1</v>
      </c>
      <c r="E938">
        <v>18</v>
      </c>
      <c r="F938">
        <v>5.1100000000000003</v>
      </c>
      <c r="G938">
        <v>1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0</v>
      </c>
      <c r="O938">
        <v>1</v>
      </c>
      <c r="P938">
        <v>0</v>
      </c>
      <c r="Q938">
        <v>45.166666669999998</v>
      </c>
    </row>
    <row r="939" spans="1:17" x14ac:dyDescent="0.25">
      <c r="A939">
        <v>49</v>
      </c>
      <c r="B939">
        <v>18</v>
      </c>
      <c r="C939">
        <v>2</v>
      </c>
      <c r="D939">
        <v>1</v>
      </c>
      <c r="E939">
        <v>8</v>
      </c>
      <c r="F939">
        <v>5.0359999999999996</v>
      </c>
      <c r="G939">
        <v>1</v>
      </c>
      <c r="H939">
        <v>0</v>
      </c>
      <c r="I939">
        <v>0</v>
      </c>
      <c r="J939">
        <v>0</v>
      </c>
      <c r="K939">
        <v>0</v>
      </c>
      <c r="L939">
        <v>1</v>
      </c>
      <c r="M939">
        <v>1</v>
      </c>
      <c r="N939">
        <v>1</v>
      </c>
      <c r="O939">
        <v>0</v>
      </c>
      <c r="P939">
        <v>1</v>
      </c>
      <c r="Q939">
        <v>196.6333333</v>
      </c>
    </row>
    <row r="940" spans="1:17" x14ac:dyDescent="0.25">
      <c r="A940">
        <v>44</v>
      </c>
      <c r="B940">
        <v>35</v>
      </c>
      <c r="C940">
        <v>2</v>
      </c>
      <c r="D940">
        <v>2</v>
      </c>
      <c r="E940">
        <v>4</v>
      </c>
      <c r="F940">
        <v>5.07</v>
      </c>
      <c r="G940">
        <v>1</v>
      </c>
      <c r="H940">
        <v>0</v>
      </c>
      <c r="I940">
        <v>0</v>
      </c>
      <c r="J940">
        <v>0</v>
      </c>
      <c r="K940">
        <v>0</v>
      </c>
      <c r="L940">
        <v>1</v>
      </c>
      <c r="M940">
        <v>1</v>
      </c>
      <c r="N940">
        <v>1</v>
      </c>
      <c r="O940">
        <v>0</v>
      </c>
      <c r="P940">
        <v>1</v>
      </c>
      <c r="Q940">
        <v>205.8</v>
      </c>
    </row>
    <row r="941" spans="1:17" x14ac:dyDescent="0.25">
      <c r="A941">
        <v>51</v>
      </c>
      <c r="B941">
        <v>25</v>
      </c>
      <c r="C941">
        <v>2</v>
      </c>
      <c r="D941">
        <v>1</v>
      </c>
      <c r="E941">
        <v>7</v>
      </c>
      <c r="F941">
        <v>5.05</v>
      </c>
      <c r="G941">
        <v>1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1</v>
      </c>
      <c r="O941">
        <v>1</v>
      </c>
      <c r="P941">
        <v>1</v>
      </c>
      <c r="Q941">
        <v>162.83333329999999</v>
      </c>
    </row>
    <row r="942" spans="1:17" x14ac:dyDescent="0.25">
      <c r="A942">
        <v>68</v>
      </c>
      <c r="B942">
        <v>12</v>
      </c>
      <c r="C942">
        <v>3</v>
      </c>
      <c r="D942">
        <v>5</v>
      </c>
      <c r="E942">
        <v>6</v>
      </c>
      <c r="F942">
        <v>3.0239999999999898</v>
      </c>
      <c r="G942">
        <v>1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0</v>
      </c>
      <c r="O942">
        <v>1</v>
      </c>
      <c r="P942">
        <v>1</v>
      </c>
      <c r="Q942">
        <v>148.8666667</v>
      </c>
    </row>
    <row r="943" spans="1:17" x14ac:dyDescent="0.25">
      <c r="A943">
        <v>38</v>
      </c>
      <c r="B943">
        <v>12</v>
      </c>
      <c r="C943">
        <v>1</v>
      </c>
      <c r="D943">
        <v>0</v>
      </c>
      <c r="E943">
        <v>6</v>
      </c>
      <c r="F943">
        <v>4.024</v>
      </c>
      <c r="G943">
        <v>1</v>
      </c>
      <c r="H943">
        <v>0</v>
      </c>
      <c r="I943">
        <v>0</v>
      </c>
      <c r="J943">
        <v>0</v>
      </c>
      <c r="K943">
        <v>0</v>
      </c>
      <c r="L943">
        <v>1</v>
      </c>
      <c r="M943">
        <v>1</v>
      </c>
      <c r="N943">
        <v>0</v>
      </c>
      <c r="O943">
        <v>0</v>
      </c>
      <c r="P943">
        <v>1</v>
      </c>
      <c r="Q943">
        <v>190.2</v>
      </c>
    </row>
    <row r="944" spans="1:17" x14ac:dyDescent="0.25">
      <c r="A944">
        <v>43</v>
      </c>
      <c r="B944">
        <v>15</v>
      </c>
      <c r="C944">
        <v>1</v>
      </c>
      <c r="D944">
        <v>0</v>
      </c>
      <c r="E944">
        <v>11</v>
      </c>
      <c r="F944">
        <v>3.03</v>
      </c>
      <c r="G944">
        <v>0</v>
      </c>
      <c r="H944">
        <v>1</v>
      </c>
      <c r="I944">
        <v>0</v>
      </c>
      <c r="J944">
        <v>0</v>
      </c>
      <c r="K944">
        <v>0</v>
      </c>
      <c r="L944">
        <v>1</v>
      </c>
      <c r="M944">
        <v>1</v>
      </c>
      <c r="N944">
        <v>0</v>
      </c>
      <c r="O944">
        <v>0</v>
      </c>
      <c r="P944">
        <v>1</v>
      </c>
      <c r="Q944">
        <v>189.9</v>
      </c>
    </row>
    <row r="945" spans="1:17" x14ac:dyDescent="0.25">
      <c r="A945">
        <v>36</v>
      </c>
      <c r="B945">
        <v>30</v>
      </c>
      <c r="C945">
        <v>2</v>
      </c>
      <c r="D945">
        <v>3</v>
      </c>
      <c r="E945">
        <v>9</v>
      </c>
      <c r="F945">
        <v>5.0599999999999996</v>
      </c>
      <c r="G945">
        <v>1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1</v>
      </c>
      <c r="O945">
        <v>0</v>
      </c>
      <c r="P945">
        <v>1</v>
      </c>
      <c r="Q945">
        <v>57.3</v>
      </c>
    </row>
    <row r="946" spans="1:17" x14ac:dyDescent="0.25">
      <c r="A946">
        <v>55</v>
      </c>
      <c r="B946">
        <v>30</v>
      </c>
      <c r="C946">
        <v>2</v>
      </c>
      <c r="D946">
        <v>4</v>
      </c>
      <c r="E946">
        <v>6</v>
      </c>
      <c r="F946">
        <v>6.06</v>
      </c>
      <c r="G946">
        <v>1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0</v>
      </c>
      <c r="O946">
        <v>1</v>
      </c>
      <c r="P946">
        <v>1</v>
      </c>
      <c r="Q946">
        <v>50.666666669999998</v>
      </c>
    </row>
    <row r="947" spans="1:17" x14ac:dyDescent="0.25">
      <c r="A947">
        <v>52</v>
      </c>
      <c r="B947">
        <v>16</v>
      </c>
      <c r="C947">
        <v>1</v>
      </c>
      <c r="D947">
        <v>0</v>
      </c>
      <c r="E947">
        <v>8</v>
      </c>
      <c r="F947">
        <v>3.032</v>
      </c>
      <c r="G947">
        <v>1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0</v>
      </c>
      <c r="O947">
        <v>1</v>
      </c>
      <c r="P947">
        <v>0</v>
      </c>
      <c r="Q947">
        <v>164.56666669999899</v>
      </c>
    </row>
    <row r="948" spans="1:17" x14ac:dyDescent="0.25">
      <c r="A948">
        <v>54</v>
      </c>
      <c r="B948">
        <v>25</v>
      </c>
      <c r="C948">
        <v>2</v>
      </c>
      <c r="D948">
        <v>1</v>
      </c>
      <c r="E948">
        <v>7</v>
      </c>
      <c r="F948">
        <v>5.05</v>
      </c>
      <c r="G948">
        <v>1</v>
      </c>
      <c r="H948">
        <v>0</v>
      </c>
      <c r="I948">
        <v>0</v>
      </c>
      <c r="J948">
        <v>0</v>
      </c>
      <c r="K948">
        <v>0</v>
      </c>
      <c r="L948">
        <v>1</v>
      </c>
      <c r="M948">
        <v>1</v>
      </c>
      <c r="N948">
        <v>1</v>
      </c>
      <c r="O948">
        <v>0</v>
      </c>
      <c r="P948">
        <v>0</v>
      </c>
      <c r="Q948">
        <v>183.43333329999999</v>
      </c>
    </row>
    <row r="949" spans="1:17" x14ac:dyDescent="0.25">
      <c r="A949">
        <v>64</v>
      </c>
      <c r="B949">
        <v>20</v>
      </c>
      <c r="C949">
        <v>2</v>
      </c>
      <c r="D949">
        <v>1</v>
      </c>
      <c r="E949">
        <v>3</v>
      </c>
      <c r="F949">
        <v>5.04</v>
      </c>
      <c r="G949">
        <v>1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0</v>
      </c>
      <c r="O949">
        <v>1</v>
      </c>
      <c r="P949">
        <v>1</v>
      </c>
      <c r="Q949">
        <v>90.8</v>
      </c>
    </row>
    <row r="950" spans="1:17" x14ac:dyDescent="0.25">
      <c r="A950">
        <v>69</v>
      </c>
      <c r="B950">
        <v>25</v>
      </c>
      <c r="C950">
        <v>2</v>
      </c>
      <c r="D950">
        <v>0</v>
      </c>
      <c r="E950">
        <v>7</v>
      </c>
      <c r="F950">
        <v>4.05</v>
      </c>
      <c r="G950">
        <v>1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0</v>
      </c>
      <c r="O950">
        <v>1</v>
      </c>
      <c r="P950">
        <v>1</v>
      </c>
      <c r="Q950">
        <v>18.8</v>
      </c>
    </row>
    <row r="951" spans="1:17" x14ac:dyDescent="0.25">
      <c r="A951">
        <v>48</v>
      </c>
      <c r="B951">
        <v>25</v>
      </c>
      <c r="C951">
        <v>2</v>
      </c>
      <c r="D951">
        <v>1</v>
      </c>
      <c r="E951">
        <v>5</v>
      </c>
      <c r="F951">
        <v>5.05</v>
      </c>
      <c r="G951">
        <v>1</v>
      </c>
      <c r="H951">
        <v>0</v>
      </c>
      <c r="I951">
        <v>0</v>
      </c>
      <c r="J951">
        <v>0</v>
      </c>
      <c r="K951">
        <v>0</v>
      </c>
      <c r="L951">
        <v>1</v>
      </c>
      <c r="M951">
        <v>1</v>
      </c>
      <c r="N951">
        <v>1</v>
      </c>
      <c r="O951">
        <v>0</v>
      </c>
      <c r="P951">
        <v>1</v>
      </c>
      <c r="Q951">
        <v>99.366666670000001</v>
      </c>
    </row>
    <row r="952" spans="1:17" x14ac:dyDescent="0.25">
      <c r="A952">
        <v>67</v>
      </c>
      <c r="B952">
        <v>13</v>
      </c>
      <c r="C952">
        <v>1</v>
      </c>
      <c r="D952">
        <v>0</v>
      </c>
      <c r="E952">
        <v>10</v>
      </c>
      <c r="F952">
        <v>4.0259999999999998</v>
      </c>
      <c r="G952">
        <v>1</v>
      </c>
      <c r="H952">
        <v>0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0</v>
      </c>
      <c r="P952">
        <v>0</v>
      </c>
      <c r="Q952">
        <v>185.7666667</v>
      </c>
    </row>
    <row r="953" spans="1:17" x14ac:dyDescent="0.25">
      <c r="A953">
        <v>46</v>
      </c>
      <c r="B953">
        <v>35</v>
      </c>
      <c r="C953">
        <v>2</v>
      </c>
      <c r="D953">
        <v>1</v>
      </c>
      <c r="E953">
        <v>9</v>
      </c>
      <c r="F953">
        <v>5.07</v>
      </c>
      <c r="G953">
        <v>1</v>
      </c>
      <c r="H953">
        <v>0</v>
      </c>
      <c r="I953">
        <v>0</v>
      </c>
      <c r="J953">
        <v>0</v>
      </c>
      <c r="K953">
        <v>0</v>
      </c>
      <c r="L953">
        <v>1</v>
      </c>
      <c r="M953">
        <v>1</v>
      </c>
      <c r="N953">
        <v>1</v>
      </c>
      <c r="O953">
        <v>0</v>
      </c>
      <c r="P953">
        <v>0</v>
      </c>
      <c r="Q953">
        <v>226.7</v>
      </c>
    </row>
    <row r="954" spans="1:17" x14ac:dyDescent="0.25">
      <c r="A954">
        <v>59</v>
      </c>
      <c r="B954">
        <v>35</v>
      </c>
      <c r="C954">
        <v>2</v>
      </c>
      <c r="D954">
        <v>0</v>
      </c>
      <c r="E954">
        <v>5</v>
      </c>
      <c r="F954">
        <v>3.07</v>
      </c>
      <c r="G954">
        <v>0</v>
      </c>
      <c r="H954">
        <v>0</v>
      </c>
      <c r="I954">
        <v>0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1</v>
      </c>
      <c r="P954">
        <v>0</v>
      </c>
      <c r="Q954">
        <v>110.4666667</v>
      </c>
    </row>
    <row r="955" spans="1:17" x14ac:dyDescent="0.25">
      <c r="A955">
        <v>57</v>
      </c>
      <c r="B955">
        <v>30</v>
      </c>
      <c r="C955">
        <v>2</v>
      </c>
      <c r="D955">
        <v>1</v>
      </c>
      <c r="E955">
        <v>4</v>
      </c>
      <c r="F955">
        <v>5.0599999999999996</v>
      </c>
      <c r="G955">
        <v>1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0</v>
      </c>
      <c r="O955">
        <v>1</v>
      </c>
      <c r="P955">
        <v>1</v>
      </c>
      <c r="Q955">
        <v>46.366666670000001</v>
      </c>
    </row>
    <row r="956" spans="1:17" x14ac:dyDescent="0.25">
      <c r="A956">
        <v>40</v>
      </c>
      <c r="B956">
        <v>16</v>
      </c>
      <c r="C956">
        <v>2</v>
      </c>
      <c r="D956">
        <v>2</v>
      </c>
      <c r="E956">
        <v>6</v>
      </c>
      <c r="F956">
        <v>5.032</v>
      </c>
      <c r="G956">
        <v>1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1</v>
      </c>
      <c r="O956">
        <v>0</v>
      </c>
      <c r="P956">
        <v>1</v>
      </c>
      <c r="Q956">
        <v>17.666666670000001</v>
      </c>
    </row>
    <row r="957" spans="1:17" x14ac:dyDescent="0.25">
      <c r="A957">
        <v>44</v>
      </c>
      <c r="B957">
        <v>25</v>
      </c>
      <c r="C957">
        <v>2</v>
      </c>
      <c r="D957">
        <v>6</v>
      </c>
      <c r="E957">
        <v>13</v>
      </c>
      <c r="F957">
        <v>5.05</v>
      </c>
      <c r="G957">
        <v>1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1</v>
      </c>
      <c r="O957">
        <v>0</v>
      </c>
      <c r="P957">
        <v>1</v>
      </c>
      <c r="Q957">
        <v>42.433333330000004</v>
      </c>
    </row>
    <row r="958" spans="1:17" x14ac:dyDescent="0.25">
      <c r="A958">
        <v>47</v>
      </c>
      <c r="B958">
        <v>20</v>
      </c>
      <c r="C958">
        <v>1</v>
      </c>
      <c r="D958">
        <v>0</v>
      </c>
      <c r="E958">
        <v>7</v>
      </c>
      <c r="F958">
        <v>3.04</v>
      </c>
      <c r="G958">
        <v>0</v>
      </c>
      <c r="H958">
        <v>0</v>
      </c>
      <c r="I958">
        <v>1</v>
      </c>
      <c r="J958">
        <v>0</v>
      </c>
      <c r="K958">
        <v>0</v>
      </c>
      <c r="L958">
        <v>1</v>
      </c>
      <c r="M958">
        <v>1</v>
      </c>
      <c r="N958">
        <v>0</v>
      </c>
      <c r="O958">
        <v>1</v>
      </c>
      <c r="P958">
        <v>1</v>
      </c>
      <c r="Q958">
        <v>238.5</v>
      </c>
    </row>
    <row r="959" spans="1:17" x14ac:dyDescent="0.25">
      <c r="A959">
        <v>75</v>
      </c>
      <c r="B959">
        <v>25</v>
      </c>
      <c r="C959">
        <v>2</v>
      </c>
      <c r="D959">
        <v>0</v>
      </c>
      <c r="E959">
        <v>13</v>
      </c>
      <c r="F959">
        <v>4.05</v>
      </c>
      <c r="G959">
        <v>1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1</v>
      </c>
      <c r="P959">
        <v>1</v>
      </c>
      <c r="Q959">
        <v>123.3</v>
      </c>
    </row>
    <row r="960" spans="1:17" x14ac:dyDescent="0.25">
      <c r="A960">
        <v>53</v>
      </c>
      <c r="B960">
        <v>15</v>
      </c>
      <c r="C960">
        <v>1</v>
      </c>
      <c r="D960">
        <v>0</v>
      </c>
      <c r="E960">
        <v>3</v>
      </c>
      <c r="F960">
        <v>3.03</v>
      </c>
      <c r="G960">
        <v>1</v>
      </c>
      <c r="H960">
        <v>0</v>
      </c>
      <c r="I960">
        <v>0</v>
      </c>
      <c r="J960">
        <v>0</v>
      </c>
      <c r="K960">
        <v>0</v>
      </c>
      <c r="L960">
        <v>1</v>
      </c>
      <c r="M960">
        <v>1</v>
      </c>
      <c r="N960">
        <v>0</v>
      </c>
      <c r="O960">
        <v>0</v>
      </c>
      <c r="P960">
        <v>0</v>
      </c>
      <c r="Q960">
        <v>216.96666669999999</v>
      </c>
    </row>
    <row r="961" spans="1:17" x14ac:dyDescent="0.25">
      <c r="A961">
        <v>65</v>
      </c>
      <c r="B961">
        <v>40</v>
      </c>
      <c r="C961">
        <v>2</v>
      </c>
      <c r="D961">
        <v>0</v>
      </c>
      <c r="E961">
        <v>5</v>
      </c>
      <c r="F961">
        <v>3.08</v>
      </c>
      <c r="G961">
        <v>1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51.2</v>
      </c>
    </row>
    <row r="962" spans="1:17" x14ac:dyDescent="0.25">
      <c r="A962">
        <v>72</v>
      </c>
      <c r="B962">
        <v>65</v>
      </c>
      <c r="C962">
        <v>2</v>
      </c>
      <c r="D962">
        <v>0</v>
      </c>
      <c r="E962">
        <v>10</v>
      </c>
      <c r="F962">
        <v>4.13</v>
      </c>
      <c r="G962">
        <v>1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65.833333330000002</v>
      </c>
    </row>
    <row r="963" spans="1:17" x14ac:dyDescent="0.25">
      <c r="A963">
        <v>69</v>
      </c>
      <c r="B963">
        <v>20</v>
      </c>
      <c r="C963">
        <v>1</v>
      </c>
      <c r="D963">
        <v>0</v>
      </c>
      <c r="E963">
        <v>6</v>
      </c>
      <c r="F963">
        <v>3.04</v>
      </c>
      <c r="G963">
        <v>1</v>
      </c>
      <c r="H963">
        <v>0</v>
      </c>
      <c r="I963">
        <v>0</v>
      </c>
      <c r="J963">
        <v>0</v>
      </c>
      <c r="K963">
        <v>0</v>
      </c>
      <c r="L963">
        <v>1</v>
      </c>
      <c r="M963">
        <v>1</v>
      </c>
      <c r="N963">
        <v>0</v>
      </c>
      <c r="O963">
        <v>0</v>
      </c>
      <c r="P963">
        <v>1</v>
      </c>
      <c r="Q963">
        <v>237.5</v>
      </c>
    </row>
    <row r="964" spans="1:17" x14ac:dyDescent="0.25">
      <c r="A964">
        <v>64</v>
      </c>
      <c r="B964">
        <v>15</v>
      </c>
      <c r="C964">
        <v>1</v>
      </c>
      <c r="D964">
        <v>0</v>
      </c>
      <c r="E964">
        <v>6</v>
      </c>
      <c r="F964">
        <v>4.03</v>
      </c>
      <c r="G964">
        <v>1</v>
      </c>
      <c r="H964">
        <v>0</v>
      </c>
      <c r="I964">
        <v>0</v>
      </c>
      <c r="J964">
        <v>0</v>
      </c>
      <c r="K964">
        <v>0</v>
      </c>
      <c r="L964">
        <v>1</v>
      </c>
      <c r="M964">
        <v>1</v>
      </c>
      <c r="N964">
        <v>0</v>
      </c>
      <c r="O964">
        <v>0</v>
      </c>
      <c r="P964">
        <v>1</v>
      </c>
      <c r="Q964">
        <v>225.16666669999901</v>
      </c>
    </row>
    <row r="965" spans="1:17" x14ac:dyDescent="0.25">
      <c r="A965">
        <v>65</v>
      </c>
      <c r="B965">
        <v>20</v>
      </c>
      <c r="C965">
        <v>1</v>
      </c>
      <c r="D965">
        <v>0</v>
      </c>
      <c r="E965">
        <v>5</v>
      </c>
      <c r="F965">
        <v>2.04</v>
      </c>
      <c r="G965">
        <v>1</v>
      </c>
      <c r="H965">
        <v>0</v>
      </c>
      <c r="I965">
        <v>0</v>
      </c>
      <c r="J965">
        <v>0</v>
      </c>
      <c r="K965">
        <v>0</v>
      </c>
      <c r="L965">
        <v>1</v>
      </c>
      <c r="M965">
        <v>1</v>
      </c>
      <c r="N965">
        <v>0</v>
      </c>
      <c r="O965">
        <v>0</v>
      </c>
      <c r="P965">
        <v>0</v>
      </c>
      <c r="Q965">
        <v>123.733333299999</v>
      </c>
    </row>
    <row r="966" spans="1:17" x14ac:dyDescent="0.25">
      <c r="A966">
        <v>51</v>
      </c>
      <c r="B966">
        <v>28</v>
      </c>
      <c r="C966">
        <v>2</v>
      </c>
      <c r="D966">
        <v>0</v>
      </c>
      <c r="E966">
        <v>7</v>
      </c>
      <c r="F966">
        <v>3.056</v>
      </c>
      <c r="G966">
        <v>1</v>
      </c>
      <c r="H966">
        <v>0</v>
      </c>
      <c r="I966">
        <v>0</v>
      </c>
      <c r="J966">
        <v>0</v>
      </c>
      <c r="K966">
        <v>0</v>
      </c>
      <c r="L966">
        <v>1</v>
      </c>
      <c r="M966">
        <v>1</v>
      </c>
      <c r="N966">
        <v>0</v>
      </c>
      <c r="O966">
        <v>0</v>
      </c>
      <c r="P966">
        <v>1</v>
      </c>
      <c r="Q966">
        <v>189.7333333</v>
      </c>
    </row>
    <row r="967" spans="1:17" x14ac:dyDescent="0.25">
      <c r="A967">
        <v>74</v>
      </c>
      <c r="B967">
        <v>15</v>
      </c>
      <c r="C967">
        <v>1</v>
      </c>
      <c r="D967">
        <v>0</v>
      </c>
      <c r="E967">
        <v>7</v>
      </c>
      <c r="F967">
        <v>3.03</v>
      </c>
      <c r="G967">
        <v>0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1</v>
      </c>
      <c r="Q967">
        <v>164.6</v>
      </c>
    </row>
    <row r="968" spans="1:17" x14ac:dyDescent="0.25">
      <c r="A968">
        <v>54</v>
      </c>
      <c r="B968">
        <v>20</v>
      </c>
      <c r="C968">
        <v>1</v>
      </c>
      <c r="D968">
        <v>0</v>
      </c>
      <c r="E968">
        <v>13</v>
      </c>
      <c r="F968">
        <v>4.04</v>
      </c>
      <c r="G968">
        <v>1</v>
      </c>
      <c r="H968">
        <v>0</v>
      </c>
      <c r="I968">
        <v>0</v>
      </c>
      <c r="J968">
        <v>0</v>
      </c>
      <c r="K968">
        <v>0</v>
      </c>
      <c r="L968">
        <v>1</v>
      </c>
      <c r="M968">
        <v>1</v>
      </c>
      <c r="N968">
        <v>0</v>
      </c>
      <c r="O968">
        <v>0</v>
      </c>
      <c r="P968">
        <v>0</v>
      </c>
      <c r="Q968">
        <v>158.96666669999999</v>
      </c>
    </row>
    <row r="969" spans="1:17" x14ac:dyDescent="0.25">
      <c r="A969">
        <v>86</v>
      </c>
      <c r="B969">
        <v>29</v>
      </c>
      <c r="C969">
        <v>2</v>
      </c>
      <c r="D969">
        <v>4</v>
      </c>
      <c r="E969">
        <v>7</v>
      </c>
      <c r="F969">
        <v>5.0579999999999998</v>
      </c>
      <c r="G969">
        <v>1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1</v>
      </c>
      <c r="P969">
        <v>0</v>
      </c>
      <c r="Q969">
        <v>36.633333329999999</v>
      </c>
    </row>
    <row r="970" spans="1:17" x14ac:dyDescent="0.25">
      <c r="A970">
        <v>63</v>
      </c>
      <c r="B970">
        <v>20</v>
      </c>
      <c r="C970">
        <v>2</v>
      </c>
      <c r="D970">
        <v>1</v>
      </c>
      <c r="E970">
        <v>1</v>
      </c>
      <c r="F970">
        <v>4.04</v>
      </c>
      <c r="G970">
        <v>1</v>
      </c>
      <c r="H970">
        <v>0</v>
      </c>
      <c r="I970">
        <v>0</v>
      </c>
      <c r="J970">
        <v>0</v>
      </c>
      <c r="K970">
        <v>0</v>
      </c>
      <c r="L970">
        <v>1</v>
      </c>
      <c r="M970">
        <v>1</v>
      </c>
      <c r="N970">
        <v>0</v>
      </c>
      <c r="O970">
        <v>1</v>
      </c>
      <c r="P970">
        <v>1</v>
      </c>
      <c r="Q970">
        <v>182.9</v>
      </c>
    </row>
    <row r="971" spans="1:17" x14ac:dyDescent="0.25">
      <c r="A971">
        <v>72</v>
      </c>
      <c r="B971">
        <v>20</v>
      </c>
      <c r="C971">
        <v>2</v>
      </c>
      <c r="D971">
        <v>1</v>
      </c>
      <c r="E971">
        <v>4</v>
      </c>
      <c r="F971">
        <v>5.04</v>
      </c>
      <c r="G971">
        <v>1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1</v>
      </c>
      <c r="P971">
        <v>1</v>
      </c>
      <c r="Q971">
        <v>30.866666670000001</v>
      </c>
    </row>
    <row r="972" spans="1:17" x14ac:dyDescent="0.25">
      <c r="A972">
        <v>38</v>
      </c>
      <c r="B972">
        <v>25</v>
      </c>
      <c r="C972">
        <v>2</v>
      </c>
      <c r="D972">
        <v>4</v>
      </c>
      <c r="E972">
        <v>5</v>
      </c>
      <c r="F972">
        <v>6.05</v>
      </c>
      <c r="G972">
        <v>0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0</v>
      </c>
      <c r="O972">
        <v>1</v>
      </c>
      <c r="P972">
        <v>0</v>
      </c>
      <c r="Q972">
        <v>16.3</v>
      </c>
    </row>
    <row r="973" spans="1:17" x14ac:dyDescent="0.25">
      <c r="A973">
        <v>69</v>
      </c>
      <c r="B973">
        <v>45</v>
      </c>
      <c r="C973">
        <v>2</v>
      </c>
      <c r="D973">
        <v>0</v>
      </c>
      <c r="E973">
        <v>10</v>
      </c>
      <c r="F973">
        <v>4.09</v>
      </c>
      <c r="G973">
        <v>1</v>
      </c>
      <c r="H973">
        <v>0</v>
      </c>
      <c r="I973">
        <v>0</v>
      </c>
      <c r="J973">
        <v>0</v>
      </c>
      <c r="K973">
        <v>0</v>
      </c>
      <c r="L973">
        <v>1</v>
      </c>
      <c r="M973">
        <v>1</v>
      </c>
      <c r="N973">
        <v>0</v>
      </c>
      <c r="O973">
        <v>1</v>
      </c>
      <c r="P973">
        <v>1</v>
      </c>
      <c r="Q973">
        <v>124.8</v>
      </c>
    </row>
    <row r="974" spans="1:17" x14ac:dyDescent="0.25">
      <c r="A974">
        <v>63</v>
      </c>
      <c r="B974">
        <v>28</v>
      </c>
      <c r="C974">
        <v>2</v>
      </c>
      <c r="D974">
        <v>0</v>
      </c>
      <c r="E974">
        <v>9</v>
      </c>
      <c r="F974">
        <v>4.056</v>
      </c>
      <c r="G974">
        <v>0</v>
      </c>
      <c r="H974">
        <v>0</v>
      </c>
      <c r="I974">
        <v>0</v>
      </c>
      <c r="J974">
        <v>1</v>
      </c>
      <c r="K974">
        <v>0</v>
      </c>
      <c r="L974">
        <v>1</v>
      </c>
      <c r="M974">
        <v>1</v>
      </c>
      <c r="N974">
        <v>0</v>
      </c>
      <c r="O974">
        <v>1</v>
      </c>
      <c r="P974">
        <v>1</v>
      </c>
      <c r="Q974">
        <v>2</v>
      </c>
    </row>
    <row r="975" spans="1:17" x14ac:dyDescent="0.25">
      <c r="A975">
        <v>45</v>
      </c>
      <c r="B975">
        <v>20</v>
      </c>
      <c r="C975">
        <v>1</v>
      </c>
      <c r="D975">
        <v>0</v>
      </c>
      <c r="E975">
        <v>10</v>
      </c>
      <c r="F975">
        <v>4.04</v>
      </c>
      <c r="G975">
        <v>1</v>
      </c>
      <c r="H975">
        <v>0</v>
      </c>
      <c r="I975">
        <v>0</v>
      </c>
      <c r="J975">
        <v>0</v>
      </c>
      <c r="K975">
        <v>0</v>
      </c>
      <c r="L975">
        <v>1</v>
      </c>
      <c r="M975">
        <v>1</v>
      </c>
      <c r="N975">
        <v>0</v>
      </c>
      <c r="O975">
        <v>0</v>
      </c>
      <c r="P975">
        <v>1</v>
      </c>
      <c r="Q975">
        <v>151.06666669999899</v>
      </c>
    </row>
    <row r="976" spans="1:17" x14ac:dyDescent="0.25">
      <c r="A976">
        <v>53</v>
      </c>
      <c r="B976">
        <v>11</v>
      </c>
      <c r="C976">
        <v>2</v>
      </c>
      <c r="D976">
        <v>8</v>
      </c>
      <c r="E976">
        <v>3</v>
      </c>
      <c r="F976">
        <v>5.0220000000000002</v>
      </c>
      <c r="G976">
        <v>1</v>
      </c>
      <c r="H976">
        <v>0</v>
      </c>
      <c r="I976">
        <v>0</v>
      </c>
      <c r="J976">
        <v>0</v>
      </c>
      <c r="K976">
        <v>0</v>
      </c>
      <c r="L976">
        <v>1</v>
      </c>
      <c r="M976">
        <v>1</v>
      </c>
      <c r="N976">
        <v>1</v>
      </c>
      <c r="O976">
        <v>1</v>
      </c>
      <c r="P976">
        <v>1</v>
      </c>
      <c r="Q976">
        <v>180.56666669999899</v>
      </c>
    </row>
    <row r="977" spans="1:17" x14ac:dyDescent="0.25">
      <c r="A977">
        <v>40</v>
      </c>
      <c r="B977">
        <v>35</v>
      </c>
      <c r="C977">
        <v>2</v>
      </c>
      <c r="D977">
        <v>2</v>
      </c>
      <c r="E977">
        <v>5</v>
      </c>
      <c r="F977">
        <v>5.07</v>
      </c>
      <c r="G977">
        <v>1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1</v>
      </c>
      <c r="O977">
        <v>0</v>
      </c>
      <c r="P977">
        <v>1</v>
      </c>
      <c r="Q977">
        <v>14.8</v>
      </c>
    </row>
    <row r="978" spans="1:17" x14ac:dyDescent="0.25">
      <c r="A978">
        <v>50</v>
      </c>
      <c r="B978">
        <v>25</v>
      </c>
      <c r="C978">
        <v>2</v>
      </c>
      <c r="D978">
        <v>2</v>
      </c>
      <c r="E978">
        <v>6</v>
      </c>
      <c r="F978">
        <v>5.05</v>
      </c>
      <c r="G978">
        <v>1</v>
      </c>
      <c r="H978">
        <v>0</v>
      </c>
      <c r="I978">
        <v>0</v>
      </c>
      <c r="J978">
        <v>0</v>
      </c>
      <c r="K978">
        <v>0</v>
      </c>
      <c r="L978">
        <v>1</v>
      </c>
      <c r="M978">
        <v>1</v>
      </c>
      <c r="N978">
        <v>0</v>
      </c>
      <c r="O978">
        <v>1</v>
      </c>
      <c r="P978">
        <v>0</v>
      </c>
      <c r="Q978">
        <v>185.93333329999999</v>
      </c>
    </row>
    <row r="979" spans="1:17" x14ac:dyDescent="0.25">
      <c r="A979">
        <v>66</v>
      </c>
      <c r="B979">
        <v>15</v>
      </c>
      <c r="C979">
        <v>1</v>
      </c>
      <c r="D979">
        <v>0</v>
      </c>
      <c r="E979">
        <v>7</v>
      </c>
      <c r="F979">
        <v>3.03</v>
      </c>
      <c r="G979">
        <v>1</v>
      </c>
      <c r="H979">
        <v>0</v>
      </c>
      <c r="I979">
        <v>0</v>
      </c>
      <c r="J979">
        <v>0</v>
      </c>
      <c r="K979">
        <v>0</v>
      </c>
      <c r="L979">
        <v>1</v>
      </c>
      <c r="M979">
        <v>1</v>
      </c>
      <c r="N979">
        <v>0</v>
      </c>
      <c r="O979">
        <v>0</v>
      </c>
      <c r="P979">
        <v>1</v>
      </c>
      <c r="Q979">
        <v>183.96666669999999</v>
      </c>
    </row>
    <row r="980" spans="1:17" x14ac:dyDescent="0.25">
      <c r="A980">
        <v>69</v>
      </c>
      <c r="B980">
        <v>30</v>
      </c>
      <c r="C980">
        <v>2</v>
      </c>
      <c r="D980">
        <v>2</v>
      </c>
      <c r="E980">
        <v>3</v>
      </c>
      <c r="F980">
        <v>4.0599999999999996</v>
      </c>
      <c r="G980">
        <v>1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0</v>
      </c>
      <c r="O980">
        <v>1</v>
      </c>
      <c r="P980">
        <v>0</v>
      </c>
      <c r="Q980">
        <v>79.866666670000001</v>
      </c>
    </row>
    <row r="981" spans="1:17" x14ac:dyDescent="0.25">
      <c r="A981">
        <v>71</v>
      </c>
      <c r="B981">
        <v>20</v>
      </c>
      <c r="C981">
        <v>2</v>
      </c>
      <c r="D981">
        <v>1</v>
      </c>
      <c r="E981">
        <v>7</v>
      </c>
      <c r="F981">
        <v>5.04</v>
      </c>
      <c r="G981">
        <v>0</v>
      </c>
      <c r="H981">
        <v>1</v>
      </c>
      <c r="I981">
        <v>0</v>
      </c>
      <c r="J981">
        <v>0</v>
      </c>
      <c r="K981">
        <v>0</v>
      </c>
      <c r="L981">
        <v>1</v>
      </c>
      <c r="M981">
        <v>1</v>
      </c>
      <c r="N981">
        <v>0</v>
      </c>
      <c r="O981">
        <v>1</v>
      </c>
      <c r="P981">
        <v>1</v>
      </c>
      <c r="Q981">
        <v>158.03333330000001</v>
      </c>
    </row>
    <row r="982" spans="1:17" x14ac:dyDescent="0.25">
      <c r="A982">
        <v>80</v>
      </c>
      <c r="B982">
        <v>25</v>
      </c>
      <c r="C982">
        <v>3</v>
      </c>
      <c r="D982">
        <v>10</v>
      </c>
      <c r="E982">
        <v>4</v>
      </c>
      <c r="F982">
        <v>5.05</v>
      </c>
      <c r="G982">
        <v>1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0</v>
      </c>
      <c r="O982">
        <v>1</v>
      </c>
      <c r="P982">
        <v>1</v>
      </c>
      <c r="Q982">
        <v>79.099999999999994</v>
      </c>
    </row>
    <row r="983" spans="1:17" x14ac:dyDescent="0.25">
      <c r="A983">
        <v>49</v>
      </c>
      <c r="B983">
        <v>22</v>
      </c>
      <c r="C983">
        <v>2</v>
      </c>
      <c r="D983">
        <v>4</v>
      </c>
      <c r="E983">
        <v>5</v>
      </c>
      <c r="F983">
        <v>6.0439999999999996</v>
      </c>
      <c r="G983">
        <v>1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1</v>
      </c>
      <c r="O983">
        <v>1</v>
      </c>
      <c r="P983">
        <v>1</v>
      </c>
      <c r="Q983">
        <v>120.13333329999899</v>
      </c>
    </row>
    <row r="984" spans="1:17" x14ac:dyDescent="0.25">
      <c r="A984">
        <v>60</v>
      </c>
      <c r="B984">
        <v>20</v>
      </c>
      <c r="C984">
        <v>1</v>
      </c>
      <c r="D984">
        <v>0</v>
      </c>
      <c r="E984">
        <v>4</v>
      </c>
      <c r="F984">
        <v>3.04</v>
      </c>
      <c r="G984">
        <v>1</v>
      </c>
      <c r="H984">
        <v>0</v>
      </c>
      <c r="I984">
        <v>0</v>
      </c>
      <c r="J984">
        <v>0</v>
      </c>
      <c r="K984">
        <v>0</v>
      </c>
      <c r="L984">
        <v>1</v>
      </c>
      <c r="M984">
        <v>1</v>
      </c>
      <c r="N984">
        <v>0</v>
      </c>
      <c r="O984">
        <v>1</v>
      </c>
      <c r="P984">
        <v>1</v>
      </c>
      <c r="Q984">
        <v>200.1333333</v>
      </c>
    </row>
    <row r="985" spans="1:17" x14ac:dyDescent="0.25">
      <c r="A985">
        <v>43</v>
      </c>
      <c r="B985">
        <v>30</v>
      </c>
      <c r="C985">
        <v>2</v>
      </c>
      <c r="D985">
        <v>1</v>
      </c>
      <c r="E985">
        <v>5</v>
      </c>
      <c r="F985">
        <v>5.0599999999999996</v>
      </c>
      <c r="G985">
        <v>1</v>
      </c>
      <c r="H985">
        <v>0</v>
      </c>
      <c r="I985">
        <v>0</v>
      </c>
      <c r="J985">
        <v>0</v>
      </c>
      <c r="K985">
        <v>0</v>
      </c>
      <c r="L985">
        <v>1</v>
      </c>
      <c r="M985">
        <v>1</v>
      </c>
      <c r="N985">
        <v>1</v>
      </c>
      <c r="O985">
        <v>0</v>
      </c>
      <c r="P985">
        <v>1</v>
      </c>
      <c r="Q985">
        <v>98.566666670000004</v>
      </c>
    </row>
    <row r="986" spans="1:17" x14ac:dyDescent="0.25">
      <c r="A986">
        <v>54</v>
      </c>
      <c r="B986">
        <v>20</v>
      </c>
      <c r="C986">
        <v>2</v>
      </c>
      <c r="D986">
        <v>2</v>
      </c>
      <c r="E986">
        <v>6</v>
      </c>
      <c r="F986">
        <v>4.04</v>
      </c>
      <c r="G986">
        <v>1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1</v>
      </c>
      <c r="O986">
        <v>0</v>
      </c>
      <c r="P986">
        <v>1</v>
      </c>
      <c r="Q986">
        <v>88.933333329999996</v>
      </c>
    </row>
    <row r="987" spans="1:17" x14ac:dyDescent="0.25">
      <c r="A987">
        <v>67</v>
      </c>
      <c r="B987">
        <v>27</v>
      </c>
      <c r="C987">
        <v>2</v>
      </c>
      <c r="D987">
        <v>0</v>
      </c>
      <c r="E987">
        <v>8</v>
      </c>
      <c r="F987">
        <v>4.0539999999999896</v>
      </c>
      <c r="G987">
        <v>1</v>
      </c>
      <c r="H987">
        <v>0</v>
      </c>
      <c r="I987">
        <v>0</v>
      </c>
      <c r="J987">
        <v>0</v>
      </c>
      <c r="K987">
        <v>0</v>
      </c>
      <c r="L987">
        <v>1</v>
      </c>
      <c r="M987">
        <v>1</v>
      </c>
      <c r="N987">
        <v>0</v>
      </c>
      <c r="O987">
        <v>1</v>
      </c>
      <c r="P987">
        <v>1</v>
      </c>
      <c r="Q987">
        <v>182.2333333</v>
      </c>
    </row>
    <row r="988" spans="1:17" x14ac:dyDescent="0.25">
      <c r="A988">
        <v>57</v>
      </c>
      <c r="B988">
        <v>26</v>
      </c>
      <c r="C988">
        <v>2</v>
      </c>
      <c r="D988">
        <v>0</v>
      </c>
      <c r="E988">
        <v>5</v>
      </c>
      <c r="F988">
        <v>2.052</v>
      </c>
      <c r="G988">
        <v>0</v>
      </c>
      <c r="H988">
        <v>0</v>
      </c>
      <c r="I988">
        <v>1</v>
      </c>
      <c r="J988">
        <v>0</v>
      </c>
      <c r="K988">
        <v>0</v>
      </c>
      <c r="L988">
        <v>1</v>
      </c>
      <c r="M988">
        <v>1</v>
      </c>
      <c r="N988">
        <v>0</v>
      </c>
      <c r="O988">
        <v>1</v>
      </c>
      <c r="P988">
        <v>1</v>
      </c>
      <c r="Q988">
        <v>229.83333329999999</v>
      </c>
    </row>
    <row r="989" spans="1:17" x14ac:dyDescent="0.25">
      <c r="A989">
        <v>53</v>
      </c>
      <c r="B989">
        <v>20</v>
      </c>
      <c r="C989">
        <v>1</v>
      </c>
      <c r="D989">
        <v>0</v>
      </c>
      <c r="E989">
        <v>9</v>
      </c>
      <c r="F989">
        <v>4.04</v>
      </c>
      <c r="G989">
        <v>1</v>
      </c>
      <c r="H989">
        <v>0</v>
      </c>
      <c r="I989">
        <v>0</v>
      </c>
      <c r="J989">
        <v>0</v>
      </c>
      <c r="K989">
        <v>0</v>
      </c>
      <c r="L989">
        <v>1</v>
      </c>
      <c r="M989">
        <v>1</v>
      </c>
      <c r="N989">
        <v>0</v>
      </c>
      <c r="O989">
        <v>1</v>
      </c>
      <c r="P989">
        <v>1</v>
      </c>
      <c r="Q989">
        <v>225.4</v>
      </c>
    </row>
    <row r="990" spans="1:17" x14ac:dyDescent="0.25">
      <c r="A990">
        <v>35</v>
      </c>
      <c r="B990">
        <v>75</v>
      </c>
      <c r="C990">
        <v>3</v>
      </c>
      <c r="D990">
        <v>1</v>
      </c>
      <c r="E990">
        <v>9</v>
      </c>
      <c r="F990">
        <v>5.15</v>
      </c>
      <c r="G990">
        <v>1</v>
      </c>
      <c r="H990">
        <v>0</v>
      </c>
      <c r="I990">
        <v>0</v>
      </c>
      <c r="J990">
        <v>0</v>
      </c>
      <c r="K990">
        <v>0</v>
      </c>
      <c r="L990">
        <v>1</v>
      </c>
      <c r="M990">
        <v>1</v>
      </c>
      <c r="N990">
        <v>1</v>
      </c>
      <c r="O990">
        <v>0</v>
      </c>
      <c r="P990">
        <v>0</v>
      </c>
      <c r="Q990">
        <v>25.033333330000001</v>
      </c>
    </row>
    <row r="991" spans="1:17" x14ac:dyDescent="0.25">
      <c r="A991">
        <v>44</v>
      </c>
      <c r="B991">
        <v>15</v>
      </c>
      <c r="C991">
        <v>1</v>
      </c>
      <c r="D991">
        <v>0</v>
      </c>
      <c r="E991">
        <v>2</v>
      </c>
      <c r="F991">
        <v>3.03</v>
      </c>
      <c r="G991">
        <v>1</v>
      </c>
      <c r="H991">
        <v>0</v>
      </c>
      <c r="I991">
        <v>0</v>
      </c>
      <c r="J991">
        <v>0</v>
      </c>
      <c r="K991">
        <v>0</v>
      </c>
      <c r="L991">
        <v>1</v>
      </c>
      <c r="M991">
        <v>1</v>
      </c>
      <c r="N991">
        <v>0</v>
      </c>
      <c r="O991">
        <v>0</v>
      </c>
      <c r="P991">
        <v>1</v>
      </c>
      <c r="Q991">
        <v>186.6</v>
      </c>
    </row>
    <row r="992" spans="1:17" x14ac:dyDescent="0.25">
      <c r="A992">
        <v>78</v>
      </c>
      <c r="B992">
        <v>25</v>
      </c>
      <c r="C992">
        <v>2</v>
      </c>
      <c r="D992">
        <v>1</v>
      </c>
      <c r="E992">
        <v>5</v>
      </c>
      <c r="F992">
        <v>4.05</v>
      </c>
      <c r="G992">
        <v>1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0</v>
      </c>
      <c r="O992">
        <v>1</v>
      </c>
      <c r="P992">
        <v>0</v>
      </c>
      <c r="Q992">
        <v>153.8666667</v>
      </c>
    </row>
    <row r="993" spans="1:17" x14ac:dyDescent="0.25">
      <c r="A993">
        <v>47</v>
      </c>
      <c r="B993">
        <v>15</v>
      </c>
      <c r="C993">
        <v>1</v>
      </c>
      <c r="D993">
        <v>0</v>
      </c>
      <c r="E993">
        <v>2</v>
      </c>
      <c r="F993">
        <v>4.03</v>
      </c>
      <c r="G993">
        <v>1</v>
      </c>
      <c r="H993">
        <v>0</v>
      </c>
      <c r="I993">
        <v>0</v>
      </c>
      <c r="J993">
        <v>0</v>
      </c>
      <c r="K993">
        <v>0</v>
      </c>
      <c r="L993">
        <v>1</v>
      </c>
      <c r="M993">
        <v>1</v>
      </c>
      <c r="N993">
        <v>0</v>
      </c>
      <c r="O993">
        <v>0</v>
      </c>
      <c r="P993">
        <v>1</v>
      </c>
      <c r="Q993">
        <v>178.6333333</v>
      </c>
    </row>
    <row r="994" spans="1:17" x14ac:dyDescent="0.25">
      <c r="A994">
        <v>67</v>
      </c>
      <c r="B994">
        <v>20</v>
      </c>
      <c r="C994">
        <v>1</v>
      </c>
      <c r="D994">
        <v>0</v>
      </c>
      <c r="E994">
        <v>10</v>
      </c>
      <c r="F994">
        <v>4.04</v>
      </c>
      <c r="G994">
        <v>0</v>
      </c>
      <c r="H994">
        <v>1</v>
      </c>
      <c r="I994">
        <v>0</v>
      </c>
      <c r="J994">
        <v>0</v>
      </c>
      <c r="K994">
        <v>0</v>
      </c>
      <c r="L994">
        <v>1</v>
      </c>
      <c r="M994">
        <v>1</v>
      </c>
      <c r="N994">
        <v>0</v>
      </c>
      <c r="O994">
        <v>1</v>
      </c>
      <c r="P994">
        <v>1</v>
      </c>
      <c r="Q994">
        <v>194</v>
      </c>
    </row>
    <row r="995" spans="1:17" x14ac:dyDescent="0.25">
      <c r="A995">
        <v>68</v>
      </c>
      <c r="B995">
        <v>60</v>
      </c>
      <c r="C995">
        <v>3</v>
      </c>
      <c r="D995">
        <v>8</v>
      </c>
      <c r="E995">
        <v>9</v>
      </c>
      <c r="F995">
        <v>6.12</v>
      </c>
      <c r="G995">
        <v>0</v>
      </c>
      <c r="H995">
        <v>0</v>
      </c>
      <c r="I995">
        <v>1</v>
      </c>
      <c r="J995">
        <v>0</v>
      </c>
      <c r="K995">
        <v>0</v>
      </c>
      <c r="L995">
        <v>0</v>
      </c>
      <c r="M995">
        <v>1</v>
      </c>
      <c r="N995">
        <v>0</v>
      </c>
      <c r="O995">
        <v>1</v>
      </c>
      <c r="P995">
        <v>0</v>
      </c>
      <c r="Q995">
        <v>55.4</v>
      </c>
    </row>
    <row r="996" spans="1:17" x14ac:dyDescent="0.25">
      <c r="A996">
        <v>68</v>
      </c>
      <c r="B996">
        <v>30</v>
      </c>
      <c r="C996">
        <v>2</v>
      </c>
      <c r="D996">
        <v>4</v>
      </c>
      <c r="E996">
        <v>5</v>
      </c>
      <c r="F996">
        <v>6.06</v>
      </c>
      <c r="G996">
        <v>0</v>
      </c>
      <c r="H996">
        <v>1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0</v>
      </c>
      <c r="O996">
        <v>1</v>
      </c>
      <c r="P996">
        <v>1</v>
      </c>
      <c r="Q996">
        <v>90.6</v>
      </c>
    </row>
    <row r="997" spans="1:17" x14ac:dyDescent="0.25">
      <c r="A997">
        <v>46</v>
      </c>
      <c r="B997">
        <v>10</v>
      </c>
      <c r="C997">
        <v>1</v>
      </c>
      <c r="D997">
        <v>0</v>
      </c>
      <c r="E997">
        <v>6</v>
      </c>
      <c r="F997">
        <v>3.02</v>
      </c>
      <c r="G997">
        <v>1</v>
      </c>
      <c r="H997">
        <v>0</v>
      </c>
      <c r="I997">
        <v>0</v>
      </c>
      <c r="J997">
        <v>0</v>
      </c>
      <c r="K997">
        <v>0</v>
      </c>
      <c r="L997">
        <v>1</v>
      </c>
      <c r="M997">
        <v>1</v>
      </c>
      <c r="N997">
        <v>0</v>
      </c>
      <c r="O997">
        <v>0</v>
      </c>
      <c r="P997">
        <v>1</v>
      </c>
      <c r="Q997">
        <v>222.33333329999999</v>
      </c>
    </row>
    <row r="998" spans="1:17" x14ac:dyDescent="0.25">
      <c r="A998">
        <v>50</v>
      </c>
      <c r="B998">
        <v>16</v>
      </c>
      <c r="C998">
        <v>1</v>
      </c>
      <c r="D998">
        <v>0</v>
      </c>
      <c r="E998">
        <v>3</v>
      </c>
      <c r="F998">
        <v>3.032</v>
      </c>
      <c r="G998">
        <v>1</v>
      </c>
      <c r="H998">
        <v>0</v>
      </c>
      <c r="I998">
        <v>0</v>
      </c>
      <c r="J998">
        <v>0</v>
      </c>
      <c r="K998">
        <v>0</v>
      </c>
      <c r="L998">
        <v>1</v>
      </c>
      <c r="M998">
        <v>1</v>
      </c>
      <c r="N998">
        <v>0</v>
      </c>
      <c r="O998">
        <v>0</v>
      </c>
      <c r="P998">
        <v>1</v>
      </c>
      <c r="Q998">
        <v>111.3666667</v>
      </c>
    </row>
    <row r="999" spans="1:17" x14ac:dyDescent="0.25">
      <c r="A999">
        <v>66</v>
      </c>
      <c r="B999">
        <v>18</v>
      </c>
      <c r="C999">
        <v>2</v>
      </c>
      <c r="D999">
        <v>2</v>
      </c>
      <c r="E999">
        <v>3</v>
      </c>
      <c r="F999">
        <v>5.0359999999999996</v>
      </c>
      <c r="G999">
        <v>0</v>
      </c>
      <c r="H999">
        <v>1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0</v>
      </c>
      <c r="O999">
        <v>1</v>
      </c>
      <c r="P999">
        <v>0</v>
      </c>
      <c r="Q999">
        <v>81.133333329999999</v>
      </c>
    </row>
    <row r="1000" spans="1:17" x14ac:dyDescent="0.25">
      <c r="A1000">
        <v>64</v>
      </c>
      <c r="B1000">
        <v>26</v>
      </c>
      <c r="C1000">
        <v>2</v>
      </c>
      <c r="D1000">
        <v>0</v>
      </c>
      <c r="E1000">
        <v>12</v>
      </c>
      <c r="F1000">
        <v>4.0519999999999996</v>
      </c>
      <c r="G1000">
        <v>1</v>
      </c>
      <c r="H1000">
        <v>0</v>
      </c>
      <c r="I1000">
        <v>0</v>
      </c>
      <c r="J1000">
        <v>0</v>
      </c>
      <c r="K1000">
        <v>0</v>
      </c>
      <c r="L1000">
        <v>1</v>
      </c>
      <c r="M1000">
        <v>1</v>
      </c>
      <c r="N1000">
        <v>0</v>
      </c>
      <c r="O1000">
        <v>1</v>
      </c>
      <c r="P1000">
        <v>0</v>
      </c>
      <c r="Q1000">
        <v>17.833333329999999</v>
      </c>
    </row>
    <row r="1001" spans="1:17" x14ac:dyDescent="0.25">
      <c r="A1001">
        <v>66</v>
      </c>
      <c r="B1001">
        <v>25</v>
      </c>
      <c r="C1001">
        <v>2</v>
      </c>
      <c r="D1001">
        <v>2</v>
      </c>
      <c r="E1001">
        <v>5</v>
      </c>
      <c r="F1001">
        <v>4.05</v>
      </c>
      <c r="G1001">
        <v>1</v>
      </c>
      <c r="H1001">
        <v>0</v>
      </c>
      <c r="I1001">
        <v>0</v>
      </c>
      <c r="J1001">
        <v>0</v>
      </c>
      <c r="K1001">
        <v>0</v>
      </c>
      <c r="L1001">
        <v>1</v>
      </c>
      <c r="M1001">
        <v>1</v>
      </c>
      <c r="N1001">
        <v>0</v>
      </c>
      <c r="O1001">
        <v>1</v>
      </c>
      <c r="P1001">
        <v>1</v>
      </c>
      <c r="Q1001">
        <v>145.6333333</v>
      </c>
    </row>
    <row r="1002" spans="1:17" x14ac:dyDescent="0.25">
      <c r="A1002">
        <v>40</v>
      </c>
      <c r="B1002">
        <v>25</v>
      </c>
      <c r="C1002">
        <v>2</v>
      </c>
      <c r="D1002">
        <v>0</v>
      </c>
      <c r="E1002">
        <v>4</v>
      </c>
      <c r="F1002">
        <v>3.05</v>
      </c>
      <c r="G1002">
        <v>1</v>
      </c>
      <c r="H1002">
        <v>0</v>
      </c>
      <c r="I1002">
        <v>0</v>
      </c>
      <c r="J1002">
        <v>0</v>
      </c>
      <c r="K1002">
        <v>0</v>
      </c>
      <c r="L1002">
        <v>1</v>
      </c>
      <c r="M1002">
        <v>1</v>
      </c>
      <c r="N1002">
        <v>0</v>
      </c>
      <c r="O1002">
        <v>0</v>
      </c>
      <c r="P1002">
        <v>1</v>
      </c>
      <c r="Q1002">
        <v>123.7</v>
      </c>
    </row>
    <row r="1003" spans="1:17" x14ac:dyDescent="0.25">
      <c r="A1003">
        <v>62</v>
      </c>
      <c r="B1003">
        <v>17</v>
      </c>
      <c r="C1003">
        <v>1</v>
      </c>
      <c r="D1003">
        <v>0</v>
      </c>
      <c r="E1003">
        <v>9</v>
      </c>
      <c r="F1003">
        <v>4.0339999999999998</v>
      </c>
      <c r="G1003">
        <v>1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1</v>
      </c>
      <c r="N1003">
        <v>0</v>
      </c>
      <c r="O1003">
        <v>0</v>
      </c>
      <c r="P1003">
        <v>1</v>
      </c>
      <c r="Q1003">
        <v>116.43333329999901</v>
      </c>
    </row>
    <row r="1004" spans="1:17" x14ac:dyDescent="0.25">
      <c r="A1004">
        <v>41</v>
      </c>
      <c r="B1004">
        <v>20</v>
      </c>
      <c r="C1004">
        <v>2</v>
      </c>
      <c r="D1004">
        <v>4</v>
      </c>
      <c r="E1004">
        <v>3</v>
      </c>
      <c r="F1004">
        <v>6.04</v>
      </c>
      <c r="G1004">
        <v>1</v>
      </c>
      <c r="H1004">
        <v>0</v>
      </c>
      <c r="I1004">
        <v>0</v>
      </c>
      <c r="J1004">
        <v>0</v>
      </c>
      <c r="K1004">
        <v>0</v>
      </c>
      <c r="L1004">
        <v>1</v>
      </c>
      <c r="M1004">
        <v>1</v>
      </c>
      <c r="N1004">
        <v>1</v>
      </c>
      <c r="O1004">
        <v>0</v>
      </c>
      <c r="P1004">
        <v>1</v>
      </c>
      <c r="Q1004">
        <v>180.6333333</v>
      </c>
    </row>
    <row r="1005" spans="1:17" x14ac:dyDescent="0.25">
      <c r="A1005">
        <v>62</v>
      </c>
      <c r="B1005">
        <v>23</v>
      </c>
      <c r="C1005">
        <v>2</v>
      </c>
      <c r="D1005">
        <v>0</v>
      </c>
      <c r="E1005">
        <v>4</v>
      </c>
      <c r="F1005">
        <v>4.0460000000000003</v>
      </c>
      <c r="G1005">
        <v>1</v>
      </c>
      <c r="H1005">
        <v>0</v>
      </c>
      <c r="I1005">
        <v>0</v>
      </c>
      <c r="J1005">
        <v>0</v>
      </c>
      <c r="K1005">
        <v>0</v>
      </c>
      <c r="L1005">
        <v>1</v>
      </c>
      <c r="M1005">
        <v>1</v>
      </c>
      <c r="N1005">
        <v>0</v>
      </c>
      <c r="O1005">
        <v>1</v>
      </c>
      <c r="P1005">
        <v>1</v>
      </c>
      <c r="Q1005">
        <v>182.93333329999999</v>
      </c>
    </row>
    <row r="1006" spans="1:17" x14ac:dyDescent="0.25">
      <c r="A1006">
        <v>73</v>
      </c>
      <c r="B1006">
        <v>20</v>
      </c>
      <c r="C1006">
        <v>2</v>
      </c>
      <c r="D1006">
        <v>5</v>
      </c>
      <c r="E1006">
        <v>4</v>
      </c>
      <c r="F1006">
        <v>5.04</v>
      </c>
      <c r="G1006">
        <v>1</v>
      </c>
      <c r="H1006">
        <v>0</v>
      </c>
      <c r="I1006">
        <v>0</v>
      </c>
      <c r="J1006">
        <v>0</v>
      </c>
      <c r="K1006">
        <v>0</v>
      </c>
      <c r="L1006">
        <v>1</v>
      </c>
      <c r="M1006">
        <v>1</v>
      </c>
      <c r="N1006">
        <v>0</v>
      </c>
      <c r="O1006">
        <v>1</v>
      </c>
      <c r="P1006">
        <v>1</v>
      </c>
      <c r="Q1006">
        <v>82.966666669999995</v>
      </c>
    </row>
    <row r="1007" spans="1:17" x14ac:dyDescent="0.25">
      <c r="A1007">
        <v>78</v>
      </c>
      <c r="B1007">
        <v>35</v>
      </c>
      <c r="C1007">
        <v>2</v>
      </c>
      <c r="D1007">
        <v>4</v>
      </c>
      <c r="E1007">
        <v>5</v>
      </c>
      <c r="F1007">
        <v>5.07</v>
      </c>
      <c r="G1007">
        <v>1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1</v>
      </c>
      <c r="N1007">
        <v>0</v>
      </c>
      <c r="O1007">
        <v>1</v>
      </c>
      <c r="P1007">
        <v>1</v>
      </c>
      <c r="Q1007">
        <v>38.166666669999998</v>
      </c>
    </row>
    <row r="1008" spans="1:17" x14ac:dyDescent="0.25">
      <c r="A1008">
        <v>62</v>
      </c>
      <c r="B1008">
        <v>30</v>
      </c>
      <c r="C1008">
        <v>3</v>
      </c>
      <c r="D1008">
        <v>7</v>
      </c>
      <c r="E1008">
        <v>2</v>
      </c>
      <c r="F1008">
        <v>6.06</v>
      </c>
      <c r="G1008">
        <v>1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1</v>
      </c>
      <c r="N1008">
        <v>1</v>
      </c>
      <c r="O1008">
        <v>0</v>
      </c>
      <c r="P1008">
        <v>1</v>
      </c>
      <c r="Q1008">
        <v>35.033333329999998</v>
      </c>
    </row>
    <row r="1009" spans="1:17" x14ac:dyDescent="0.25">
      <c r="A1009">
        <v>55</v>
      </c>
      <c r="B1009">
        <v>30</v>
      </c>
      <c r="C1009">
        <v>2</v>
      </c>
      <c r="D1009">
        <v>0</v>
      </c>
      <c r="E1009">
        <v>4</v>
      </c>
      <c r="F1009">
        <v>4.0599999999999996</v>
      </c>
      <c r="G1009">
        <v>1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1</v>
      </c>
      <c r="N1009">
        <v>0</v>
      </c>
      <c r="O1009">
        <v>0</v>
      </c>
      <c r="P1009">
        <v>0</v>
      </c>
      <c r="Q1009">
        <v>62.9</v>
      </c>
    </row>
    <row r="1010" spans="1:17" x14ac:dyDescent="0.25">
      <c r="A1010">
        <v>57</v>
      </c>
      <c r="B1010">
        <v>15</v>
      </c>
      <c r="C1010">
        <v>1</v>
      </c>
      <c r="D1010">
        <v>0</v>
      </c>
      <c r="E1010">
        <v>8</v>
      </c>
      <c r="F1010">
        <v>3.03</v>
      </c>
      <c r="G1010">
        <v>1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1</v>
      </c>
      <c r="N1010">
        <v>0</v>
      </c>
      <c r="O1010">
        <v>1</v>
      </c>
      <c r="P1010">
        <v>1</v>
      </c>
      <c r="Q1010">
        <v>21.06666667</v>
      </c>
    </row>
    <row r="1011" spans="1:17" x14ac:dyDescent="0.25">
      <c r="A1011">
        <v>58</v>
      </c>
      <c r="B1011">
        <v>1</v>
      </c>
      <c r="C1011">
        <v>1</v>
      </c>
      <c r="D1011">
        <v>0</v>
      </c>
      <c r="E1011">
        <v>5</v>
      </c>
      <c r="F1011">
        <v>3.0019999999999998</v>
      </c>
      <c r="G1011">
        <v>1</v>
      </c>
      <c r="H1011">
        <v>0</v>
      </c>
      <c r="I1011">
        <v>0</v>
      </c>
      <c r="J1011">
        <v>0</v>
      </c>
      <c r="K1011">
        <v>0</v>
      </c>
      <c r="L1011">
        <v>1</v>
      </c>
      <c r="M1011">
        <v>1</v>
      </c>
      <c r="N1011">
        <v>0</v>
      </c>
      <c r="O1011">
        <v>0</v>
      </c>
      <c r="P1011">
        <v>0</v>
      </c>
      <c r="Q1011">
        <v>172.3</v>
      </c>
    </row>
    <row r="1012" spans="1:17" x14ac:dyDescent="0.25">
      <c r="A1012">
        <v>78</v>
      </c>
      <c r="B1012">
        <v>22</v>
      </c>
      <c r="C1012">
        <v>2</v>
      </c>
      <c r="D1012">
        <v>0</v>
      </c>
      <c r="E1012">
        <v>3</v>
      </c>
      <c r="F1012">
        <v>4.0439999999999996</v>
      </c>
      <c r="G1012">
        <v>1</v>
      </c>
      <c r="H1012">
        <v>0</v>
      </c>
      <c r="I1012">
        <v>0</v>
      </c>
      <c r="J1012">
        <v>0</v>
      </c>
      <c r="K1012">
        <v>0</v>
      </c>
      <c r="L1012">
        <v>1</v>
      </c>
      <c r="M1012">
        <v>1</v>
      </c>
      <c r="N1012">
        <v>0</v>
      </c>
      <c r="O1012">
        <v>1</v>
      </c>
      <c r="P1012">
        <v>1</v>
      </c>
      <c r="Q1012">
        <v>181.8666667</v>
      </c>
    </row>
    <row r="1013" spans="1:17" x14ac:dyDescent="0.25">
      <c r="A1013">
        <v>51</v>
      </c>
      <c r="B1013">
        <v>26</v>
      </c>
      <c r="C1013">
        <v>2</v>
      </c>
      <c r="D1013">
        <v>1</v>
      </c>
      <c r="E1013">
        <v>7</v>
      </c>
      <c r="F1013">
        <v>5.0519999999999996</v>
      </c>
      <c r="G1013">
        <v>0</v>
      </c>
      <c r="H1013">
        <v>1</v>
      </c>
      <c r="I1013">
        <v>0</v>
      </c>
      <c r="J1013">
        <v>0</v>
      </c>
      <c r="K1013">
        <v>0</v>
      </c>
      <c r="L1013">
        <v>0</v>
      </c>
      <c r="M1013">
        <v>1</v>
      </c>
      <c r="N1013">
        <v>1</v>
      </c>
      <c r="O1013">
        <v>1</v>
      </c>
      <c r="P1013">
        <v>1</v>
      </c>
      <c r="Q1013">
        <v>21</v>
      </c>
    </row>
    <row r="1014" spans="1:17" x14ac:dyDescent="0.25">
      <c r="A1014">
        <v>60</v>
      </c>
      <c r="B1014">
        <v>25</v>
      </c>
      <c r="C1014">
        <v>2</v>
      </c>
      <c r="D1014">
        <v>0</v>
      </c>
      <c r="E1014">
        <v>6</v>
      </c>
      <c r="F1014">
        <v>4.05</v>
      </c>
      <c r="G1014">
        <v>1</v>
      </c>
      <c r="H1014">
        <v>0</v>
      </c>
      <c r="I1014">
        <v>0</v>
      </c>
      <c r="J1014">
        <v>0</v>
      </c>
      <c r="K1014">
        <v>0</v>
      </c>
      <c r="L1014">
        <v>1</v>
      </c>
      <c r="M1014">
        <v>1</v>
      </c>
      <c r="N1014">
        <v>0</v>
      </c>
      <c r="O1014">
        <v>1</v>
      </c>
      <c r="P1014">
        <v>0</v>
      </c>
      <c r="Q1014">
        <v>194.6</v>
      </c>
    </row>
    <row r="1015" spans="1:17" x14ac:dyDescent="0.25">
      <c r="A1015">
        <v>67</v>
      </c>
      <c r="B1015">
        <v>25</v>
      </c>
      <c r="C1015">
        <v>2</v>
      </c>
      <c r="D1015">
        <v>0</v>
      </c>
      <c r="E1015">
        <v>9</v>
      </c>
      <c r="F1015">
        <v>4.05</v>
      </c>
      <c r="G1015">
        <v>1</v>
      </c>
      <c r="H1015">
        <v>0</v>
      </c>
      <c r="I1015">
        <v>0</v>
      </c>
      <c r="J1015">
        <v>0</v>
      </c>
      <c r="K1015">
        <v>0</v>
      </c>
      <c r="L1015">
        <v>1</v>
      </c>
      <c r="M1015">
        <v>1</v>
      </c>
      <c r="N1015">
        <v>0</v>
      </c>
      <c r="O1015">
        <v>1</v>
      </c>
      <c r="P1015">
        <v>0</v>
      </c>
      <c r="Q1015">
        <v>191.8</v>
      </c>
    </row>
    <row r="1016" spans="1:17" x14ac:dyDescent="0.25">
      <c r="A1016">
        <v>79</v>
      </c>
      <c r="B1016">
        <v>30</v>
      </c>
      <c r="C1016">
        <v>3</v>
      </c>
      <c r="D1016">
        <v>5</v>
      </c>
      <c r="E1016">
        <v>4</v>
      </c>
      <c r="F1016">
        <v>6.06</v>
      </c>
      <c r="G1016">
        <v>1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1</v>
      </c>
      <c r="N1016">
        <v>0</v>
      </c>
      <c r="O1016">
        <v>1</v>
      </c>
      <c r="P1016">
        <v>1</v>
      </c>
      <c r="Q1016">
        <v>54.1</v>
      </c>
    </row>
    <row r="1017" spans="1:17" x14ac:dyDescent="0.25">
      <c r="A1017">
        <v>53</v>
      </c>
      <c r="B1017">
        <v>30</v>
      </c>
      <c r="C1017">
        <v>3</v>
      </c>
      <c r="D1017">
        <v>2</v>
      </c>
      <c r="E1017">
        <v>4</v>
      </c>
      <c r="F1017">
        <v>4.0599999999999996</v>
      </c>
      <c r="G1017">
        <v>1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1</v>
      </c>
      <c r="N1017">
        <v>1</v>
      </c>
      <c r="O1017">
        <v>0</v>
      </c>
      <c r="P1017">
        <v>1</v>
      </c>
      <c r="Q1017">
        <v>10.06666667</v>
      </c>
    </row>
    <row r="1018" spans="1:17" x14ac:dyDescent="0.25">
      <c r="A1018">
        <v>38</v>
      </c>
      <c r="B1018">
        <v>18</v>
      </c>
      <c r="C1018">
        <v>1</v>
      </c>
      <c r="D1018">
        <v>0</v>
      </c>
      <c r="E1018">
        <v>2</v>
      </c>
      <c r="F1018">
        <v>3.036</v>
      </c>
      <c r="G1018">
        <v>1</v>
      </c>
      <c r="H1018">
        <v>0</v>
      </c>
      <c r="I1018">
        <v>0</v>
      </c>
      <c r="J1018">
        <v>0</v>
      </c>
      <c r="K1018">
        <v>0</v>
      </c>
      <c r="L1018">
        <v>1</v>
      </c>
      <c r="M1018">
        <v>1</v>
      </c>
      <c r="N1018">
        <v>0</v>
      </c>
      <c r="O1018">
        <v>1</v>
      </c>
      <c r="P1018">
        <v>0</v>
      </c>
      <c r="Q1018">
        <v>193.96666669999999</v>
      </c>
    </row>
    <row r="1019" spans="1:17" x14ac:dyDescent="0.25">
      <c r="A1019">
        <v>39</v>
      </c>
      <c r="B1019">
        <v>20</v>
      </c>
      <c r="C1019">
        <v>2</v>
      </c>
      <c r="D1019">
        <v>2</v>
      </c>
      <c r="E1019">
        <v>4</v>
      </c>
      <c r="F1019">
        <v>4.04</v>
      </c>
      <c r="G1019">
        <v>1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1</v>
      </c>
      <c r="N1019">
        <v>1</v>
      </c>
      <c r="O1019">
        <v>0</v>
      </c>
      <c r="P1019">
        <v>0</v>
      </c>
      <c r="Q1019">
        <v>124.5666667</v>
      </c>
    </row>
    <row r="1020" spans="1:17" x14ac:dyDescent="0.25">
      <c r="A1020">
        <v>41</v>
      </c>
      <c r="B1020">
        <v>15</v>
      </c>
      <c r="C1020">
        <v>1</v>
      </c>
      <c r="D1020">
        <v>0</v>
      </c>
      <c r="E1020">
        <v>8</v>
      </c>
      <c r="F1020">
        <v>3.03</v>
      </c>
      <c r="G1020">
        <v>1</v>
      </c>
      <c r="H1020">
        <v>0</v>
      </c>
      <c r="I1020">
        <v>0</v>
      </c>
      <c r="J1020">
        <v>0</v>
      </c>
      <c r="K1020">
        <v>0</v>
      </c>
      <c r="L1020">
        <v>1</v>
      </c>
      <c r="M1020">
        <v>1</v>
      </c>
      <c r="N1020">
        <v>0</v>
      </c>
      <c r="O1020">
        <v>0</v>
      </c>
      <c r="P1020">
        <v>1</v>
      </c>
      <c r="Q1020">
        <v>264.60000000000002</v>
      </c>
    </row>
    <row r="1021" spans="1:17" x14ac:dyDescent="0.25">
      <c r="A1021">
        <v>85</v>
      </c>
      <c r="B1021">
        <v>37</v>
      </c>
      <c r="C1021">
        <v>2</v>
      </c>
      <c r="D1021">
        <v>4</v>
      </c>
      <c r="E1021">
        <v>6</v>
      </c>
      <c r="F1021">
        <v>6.0739999999999998</v>
      </c>
      <c r="G1021">
        <v>0</v>
      </c>
      <c r="H1021">
        <v>1</v>
      </c>
      <c r="I1021">
        <v>0</v>
      </c>
      <c r="J1021">
        <v>0</v>
      </c>
      <c r="K1021">
        <v>0</v>
      </c>
      <c r="L1021">
        <v>0</v>
      </c>
      <c r="M1021">
        <v>1</v>
      </c>
      <c r="N1021">
        <v>0</v>
      </c>
      <c r="O1021">
        <v>1</v>
      </c>
      <c r="P1021">
        <v>0</v>
      </c>
      <c r="Q1021">
        <v>25.633333329999999</v>
      </c>
    </row>
    <row r="1022" spans="1:17" x14ac:dyDescent="0.25">
      <c r="A1022">
        <v>60</v>
      </c>
      <c r="B1022">
        <v>46</v>
      </c>
      <c r="C1022">
        <v>2</v>
      </c>
      <c r="D1022">
        <v>0</v>
      </c>
      <c r="E1022">
        <v>6</v>
      </c>
      <c r="F1022">
        <v>4.0919999999999996</v>
      </c>
      <c r="G1022">
        <v>1</v>
      </c>
      <c r="H1022">
        <v>0</v>
      </c>
      <c r="I1022">
        <v>0</v>
      </c>
      <c r="J1022">
        <v>0</v>
      </c>
      <c r="K1022">
        <v>0</v>
      </c>
      <c r="L1022">
        <v>1</v>
      </c>
      <c r="M1022">
        <v>1</v>
      </c>
      <c r="N1022">
        <v>0</v>
      </c>
      <c r="O1022">
        <v>0</v>
      </c>
      <c r="P1022">
        <v>1</v>
      </c>
      <c r="Q1022">
        <v>255.6</v>
      </c>
    </row>
    <row r="1023" spans="1:17" x14ac:dyDescent="0.25">
      <c r="A1023">
        <v>56</v>
      </c>
      <c r="B1023">
        <v>42</v>
      </c>
      <c r="C1023">
        <v>2</v>
      </c>
      <c r="D1023">
        <v>0</v>
      </c>
      <c r="E1023">
        <v>4</v>
      </c>
      <c r="F1023">
        <v>3.0839999999999899</v>
      </c>
      <c r="G1023">
        <v>0</v>
      </c>
      <c r="H1023">
        <v>1</v>
      </c>
      <c r="I1023">
        <v>0</v>
      </c>
      <c r="J1023">
        <v>0</v>
      </c>
      <c r="K1023">
        <v>0</v>
      </c>
      <c r="L1023">
        <v>1</v>
      </c>
      <c r="M1023">
        <v>1</v>
      </c>
      <c r="N1023">
        <v>0</v>
      </c>
      <c r="O1023">
        <v>1</v>
      </c>
      <c r="P1023">
        <v>1</v>
      </c>
      <c r="Q1023">
        <v>240.2</v>
      </c>
    </row>
    <row r="1024" spans="1:17" x14ac:dyDescent="0.25">
      <c r="A1024">
        <v>44</v>
      </c>
      <c r="B1024">
        <v>25</v>
      </c>
      <c r="C1024">
        <v>2</v>
      </c>
      <c r="D1024">
        <v>9</v>
      </c>
      <c r="E1024">
        <v>8</v>
      </c>
      <c r="F1024">
        <v>5.05</v>
      </c>
      <c r="G1024">
        <v>0</v>
      </c>
      <c r="H1024">
        <v>1</v>
      </c>
      <c r="I1024">
        <v>0</v>
      </c>
      <c r="J1024">
        <v>0</v>
      </c>
      <c r="K1024">
        <v>0</v>
      </c>
      <c r="L1024">
        <v>0</v>
      </c>
      <c r="M1024">
        <v>1</v>
      </c>
      <c r="N1024">
        <v>1</v>
      </c>
      <c r="O1024">
        <v>0</v>
      </c>
      <c r="P1024">
        <v>1</v>
      </c>
      <c r="Q1024">
        <v>52.466666670000002</v>
      </c>
    </row>
    <row r="1025" spans="1:17" x14ac:dyDescent="0.25">
      <c r="A1025">
        <v>56</v>
      </c>
      <c r="B1025">
        <v>20</v>
      </c>
      <c r="C1025">
        <v>2</v>
      </c>
      <c r="D1025">
        <v>2</v>
      </c>
      <c r="E1025">
        <v>8</v>
      </c>
      <c r="F1025">
        <v>4.04</v>
      </c>
      <c r="G1025">
        <v>1</v>
      </c>
      <c r="H1025">
        <v>0</v>
      </c>
      <c r="I1025">
        <v>0</v>
      </c>
      <c r="J1025">
        <v>0</v>
      </c>
      <c r="K1025">
        <v>0</v>
      </c>
      <c r="L1025">
        <v>1</v>
      </c>
      <c r="M1025">
        <v>1</v>
      </c>
      <c r="N1025">
        <v>0</v>
      </c>
      <c r="O1025">
        <v>1</v>
      </c>
      <c r="P1025">
        <v>1</v>
      </c>
      <c r="Q1025">
        <v>221.2</v>
      </c>
    </row>
    <row r="1026" spans="1:17" x14ac:dyDescent="0.25">
      <c r="A1026">
        <v>61</v>
      </c>
      <c r="B1026">
        <v>15</v>
      </c>
      <c r="C1026">
        <v>1</v>
      </c>
      <c r="D1026">
        <v>0</v>
      </c>
      <c r="E1026">
        <v>4</v>
      </c>
      <c r="F1026">
        <v>3.03</v>
      </c>
      <c r="G1026">
        <v>0</v>
      </c>
      <c r="H1026">
        <v>0</v>
      </c>
      <c r="I1026">
        <v>0</v>
      </c>
      <c r="J1026">
        <v>0</v>
      </c>
      <c r="K1026">
        <v>1</v>
      </c>
      <c r="L1026">
        <v>1</v>
      </c>
      <c r="M1026">
        <v>1</v>
      </c>
      <c r="N1026">
        <v>0</v>
      </c>
      <c r="O1026">
        <v>0</v>
      </c>
      <c r="P1026">
        <v>1</v>
      </c>
      <c r="Q1026">
        <v>224.2333333</v>
      </c>
    </row>
    <row r="1027" spans="1:17" x14ac:dyDescent="0.25">
      <c r="A1027">
        <v>49</v>
      </c>
      <c r="B1027">
        <v>22</v>
      </c>
      <c r="C1027">
        <v>2</v>
      </c>
      <c r="D1027">
        <v>0</v>
      </c>
      <c r="E1027">
        <v>7</v>
      </c>
      <c r="F1027">
        <v>4.0439999999999996</v>
      </c>
      <c r="G1027">
        <v>1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1</v>
      </c>
      <c r="N1027">
        <v>0</v>
      </c>
      <c r="O1027">
        <v>0</v>
      </c>
      <c r="P1027">
        <v>0</v>
      </c>
      <c r="Q1027">
        <v>147.7666667</v>
      </c>
    </row>
    <row r="1028" spans="1:17" x14ac:dyDescent="0.25">
      <c r="A1028">
        <v>58</v>
      </c>
      <c r="B1028">
        <v>20</v>
      </c>
      <c r="C1028">
        <v>2</v>
      </c>
      <c r="D1028">
        <v>2</v>
      </c>
      <c r="E1028">
        <v>5</v>
      </c>
      <c r="F1028">
        <v>5.04</v>
      </c>
      <c r="G1028">
        <v>1</v>
      </c>
      <c r="H1028">
        <v>0</v>
      </c>
      <c r="I1028">
        <v>0</v>
      </c>
      <c r="J1028">
        <v>0</v>
      </c>
      <c r="K1028">
        <v>0</v>
      </c>
      <c r="L1028">
        <v>1</v>
      </c>
      <c r="M1028">
        <v>1</v>
      </c>
      <c r="N1028">
        <v>1</v>
      </c>
      <c r="O1028">
        <v>0</v>
      </c>
      <c r="P1028">
        <v>1</v>
      </c>
      <c r="Q1028">
        <v>221.93333329999999</v>
      </c>
    </row>
    <row r="1029" spans="1:17" x14ac:dyDescent="0.25">
      <c r="A1029">
        <v>66</v>
      </c>
      <c r="B1029">
        <v>10</v>
      </c>
      <c r="C1029">
        <v>2</v>
      </c>
      <c r="D1029">
        <v>31</v>
      </c>
      <c r="E1029">
        <v>4</v>
      </c>
      <c r="F1029">
        <v>6.02</v>
      </c>
      <c r="G1029">
        <v>1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1</v>
      </c>
      <c r="N1029">
        <v>1</v>
      </c>
      <c r="O1029">
        <v>0</v>
      </c>
      <c r="P1029">
        <v>1</v>
      </c>
      <c r="Q1029">
        <v>35.466666670000002</v>
      </c>
    </row>
    <row r="1030" spans="1:17" x14ac:dyDescent="0.25">
      <c r="A1030">
        <v>68</v>
      </c>
      <c r="B1030">
        <v>16</v>
      </c>
      <c r="C1030">
        <v>1</v>
      </c>
      <c r="D1030">
        <v>0</v>
      </c>
      <c r="E1030">
        <v>17</v>
      </c>
      <c r="F1030">
        <v>3.032</v>
      </c>
      <c r="G1030">
        <v>1</v>
      </c>
      <c r="H1030">
        <v>0</v>
      </c>
      <c r="I1030">
        <v>0</v>
      </c>
      <c r="J1030">
        <v>0</v>
      </c>
      <c r="K1030">
        <v>0</v>
      </c>
      <c r="L1030">
        <v>1</v>
      </c>
      <c r="M1030">
        <v>1</v>
      </c>
      <c r="N1030">
        <v>0</v>
      </c>
      <c r="O1030">
        <v>0</v>
      </c>
      <c r="P1030">
        <v>0</v>
      </c>
      <c r="Q1030">
        <v>117.8666667</v>
      </c>
    </row>
    <row r="1031" spans="1:17" x14ac:dyDescent="0.25">
      <c r="A1031">
        <v>75</v>
      </c>
      <c r="B1031">
        <v>15</v>
      </c>
      <c r="C1031">
        <v>1</v>
      </c>
      <c r="D1031">
        <v>0</v>
      </c>
      <c r="E1031">
        <v>5</v>
      </c>
      <c r="F1031">
        <v>2.0299999999999998</v>
      </c>
      <c r="G1031">
        <v>1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1</v>
      </c>
      <c r="N1031">
        <v>0</v>
      </c>
      <c r="O1031">
        <v>0</v>
      </c>
      <c r="P1031">
        <v>0</v>
      </c>
      <c r="Q1031">
        <v>0.1</v>
      </c>
    </row>
    <row r="1032" spans="1:17" x14ac:dyDescent="0.25">
      <c r="A1032">
        <v>70</v>
      </c>
      <c r="B1032">
        <v>20</v>
      </c>
      <c r="C1032">
        <v>1</v>
      </c>
      <c r="D1032">
        <v>0</v>
      </c>
      <c r="E1032">
        <v>9</v>
      </c>
      <c r="F1032">
        <v>2.04</v>
      </c>
      <c r="G1032">
        <v>0</v>
      </c>
      <c r="H1032">
        <v>1</v>
      </c>
      <c r="I1032">
        <v>0</v>
      </c>
      <c r="J1032">
        <v>0</v>
      </c>
      <c r="K1032">
        <v>0</v>
      </c>
      <c r="L1032">
        <v>1</v>
      </c>
      <c r="M1032">
        <v>1</v>
      </c>
      <c r="N1032">
        <v>0</v>
      </c>
      <c r="O1032">
        <v>0</v>
      </c>
      <c r="P1032">
        <v>1</v>
      </c>
      <c r="Q1032">
        <v>201.16666669999901</v>
      </c>
    </row>
    <row r="1033" spans="1:17" x14ac:dyDescent="0.25">
      <c r="A1033">
        <v>52</v>
      </c>
      <c r="B1033">
        <v>20</v>
      </c>
      <c r="C1033">
        <v>2</v>
      </c>
      <c r="D1033">
        <v>6</v>
      </c>
      <c r="E1033">
        <v>5</v>
      </c>
      <c r="F1033">
        <v>5.04</v>
      </c>
      <c r="G1033">
        <v>0</v>
      </c>
      <c r="H1033">
        <v>1</v>
      </c>
      <c r="I1033">
        <v>0</v>
      </c>
      <c r="J1033">
        <v>0</v>
      </c>
      <c r="K1033">
        <v>0</v>
      </c>
      <c r="L1033">
        <v>1</v>
      </c>
      <c r="M1033">
        <v>1</v>
      </c>
      <c r="N1033">
        <v>1</v>
      </c>
      <c r="O1033">
        <v>0</v>
      </c>
      <c r="P1033">
        <v>1</v>
      </c>
      <c r="Q1033">
        <v>200.33333329999999</v>
      </c>
    </row>
    <row r="1034" spans="1:17" x14ac:dyDescent="0.25">
      <c r="A1034">
        <v>48</v>
      </c>
      <c r="B1034">
        <v>30</v>
      </c>
      <c r="C1034">
        <v>2</v>
      </c>
      <c r="D1034">
        <v>1</v>
      </c>
      <c r="E1034">
        <v>6</v>
      </c>
      <c r="F1034">
        <v>5.0599999999999996</v>
      </c>
      <c r="G1034">
        <v>1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1</v>
      </c>
      <c r="N1034">
        <v>1</v>
      </c>
      <c r="O1034">
        <v>0</v>
      </c>
      <c r="P1034">
        <v>1</v>
      </c>
      <c r="Q1034">
        <v>14.7</v>
      </c>
    </row>
    <row r="1035" spans="1:17" x14ac:dyDescent="0.25">
      <c r="A1035">
        <v>63</v>
      </c>
      <c r="B1035">
        <v>22</v>
      </c>
      <c r="C1035">
        <v>2</v>
      </c>
      <c r="D1035">
        <v>0</v>
      </c>
      <c r="E1035">
        <v>3</v>
      </c>
      <c r="F1035">
        <v>3.0439999999999898</v>
      </c>
      <c r="G1035">
        <v>0</v>
      </c>
      <c r="H1035">
        <v>0</v>
      </c>
      <c r="I1035">
        <v>0</v>
      </c>
      <c r="J1035">
        <v>1</v>
      </c>
      <c r="K1035">
        <v>0</v>
      </c>
      <c r="L1035">
        <v>1</v>
      </c>
      <c r="M1035">
        <v>1</v>
      </c>
      <c r="N1035">
        <v>0</v>
      </c>
      <c r="O1035">
        <v>0</v>
      </c>
      <c r="P1035">
        <v>1</v>
      </c>
      <c r="Q1035">
        <v>281.5</v>
      </c>
    </row>
  </sheetData>
  <autoFilter ref="A1:Q1035" xr:uid="{A821944C-BB0B-42B4-90AF-07D9529A5E91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Best Result</vt:lpstr>
      <vt:lpstr>All Results</vt:lpstr>
      <vt:lpstr>Calculation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Lee</dc:creator>
  <cp:lastModifiedBy>Ryan Lee</cp:lastModifiedBy>
  <dcterms:created xsi:type="dcterms:W3CDTF">2022-10-27T08:18:36Z</dcterms:created>
  <dcterms:modified xsi:type="dcterms:W3CDTF">2023-08-17T15:18:26Z</dcterms:modified>
</cp:coreProperties>
</file>